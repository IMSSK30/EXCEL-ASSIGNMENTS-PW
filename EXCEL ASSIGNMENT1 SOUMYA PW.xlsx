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oumy\Downloads\"/>
    </mc:Choice>
  </mc:AlternateContent>
  <xr:revisionPtr revIDLastSave="0" documentId="13_ncr:1_{929766BC-86EF-4BA1-87E7-5EC7B7B3C50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QUESTION 7" sheetId="4" r:id="rId1"/>
    <sheet name="QUESTION 8" sheetId="7" r:id="rId2"/>
    <sheet name="QUESTION4,5&amp;6" sheetId="1" r:id="rId3"/>
    <sheet name="QUESTION1,2&amp;3" sheetId="2" r:id="rId4"/>
  </sheets>
  <definedNames>
    <definedName name="_xlnm._FilterDatabase" localSheetId="2" hidden="1">'QUESTION4,5&amp;6'!$A$1:$G$51</definedName>
    <definedName name="_xlchart.v1.0" hidden="1">'QUESTION 8'!$B$3</definedName>
    <definedName name="_xlchart.v1.1" hidden="1">'QUESTION 8'!$B$4:$B$53</definedName>
    <definedName name="_xlchart.v1.10" hidden="1">'QUESTION 8'!$D$3</definedName>
    <definedName name="_xlchart.v1.11" hidden="1">'QUESTION 8'!$D$4:$D$53</definedName>
    <definedName name="_xlchart.v1.12" hidden="1">'QUESTION 8'!$B$3</definedName>
    <definedName name="_xlchart.v1.13" hidden="1">'QUESTION 8'!$B$4:$B$53</definedName>
    <definedName name="_xlchart.v1.14" hidden="1">'QUESTION 8'!$C$3</definedName>
    <definedName name="_xlchart.v1.15" hidden="1">'QUESTION 8'!$C$4:$C$53</definedName>
    <definedName name="_xlchart.v1.16" hidden="1">'QUESTION 8'!$D$3</definedName>
    <definedName name="_xlchart.v1.17" hidden="1">'QUESTION 8'!$D$4:$D$53</definedName>
    <definedName name="_xlchart.v1.2" hidden="1">'QUESTION 8'!$C$3</definedName>
    <definedName name="_xlchart.v1.3" hidden="1">'QUESTION 8'!$C$4:$C$53</definedName>
    <definedName name="_xlchart.v1.4" hidden="1">'QUESTION 8'!$D$3</definedName>
    <definedName name="_xlchart.v1.5" hidden="1">'QUESTION 8'!$D$4:$D$53</definedName>
    <definedName name="_xlchart.v1.6" hidden="1">'QUESTION 8'!$B$3</definedName>
    <definedName name="_xlchart.v1.7" hidden="1">'QUESTION 8'!$B$4:$B$53</definedName>
    <definedName name="_xlchart.v1.8" hidden="1">'QUESTION 8'!$C$3</definedName>
    <definedName name="_xlchart.v1.9" hidden="1">'QUESTION 8'!$C$4:$C$53</definedName>
  </definedNames>
  <calcPr calcId="191029"/>
  <pivotCaches>
    <pivotCache cacheId="1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1" l="1"/>
  <c r="K9" i="1"/>
  <c r="K6" i="1"/>
</calcChain>
</file>

<file path=xl/sharedStrings.xml><?xml version="1.0" encoding="utf-8"?>
<sst xmlns="http://schemas.openxmlformats.org/spreadsheetml/2006/main" count="254" uniqueCount="128">
  <si>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</si>
  <si>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</si>
  <si>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</si>
  <si>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</si>
  <si>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</si>
  <si>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</si>
  <si>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</si>
  <si>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</si>
  <si>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</si>
  <si>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</si>
  <si>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</si>
  <si>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</si>
  <si>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</si>
  <si>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</si>
  <si>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</si>
  <si>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</si>
  <si>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</si>
  <si>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</si>
  <si>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</si>
  <si>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</si>
  <si>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</si>
  <si>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</si>
  <si>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</si>
  <si>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</si>
  <si>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</si>
  <si>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</si>
  <si>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</si>
  <si>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</si>
  <si>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</si>
  <si>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</si>
  <si>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</si>
  <si>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</si>
  <si>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</si>
  <si>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</si>
  <si>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</si>
  <si>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</si>
  <si>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</si>
  <si>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</si>
  <si>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</si>
  <si>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</si>
  <si>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</si>
  <si>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</si>
  <si>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</si>
  <si>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</si>
  <si>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</si>
  <si>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</si>
  <si>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</si>
  <si>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</si>
  <si>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</si>
  <si>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</si>
  <si>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</si>
  <si>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</si>
  <si>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</si>
  <si>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</si>
  <si>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</si>
  <si>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</si>
  <si>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</si>
  <si>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</si>
  <si>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</si>
  <si>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</si>
  <si>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</si>
  <si>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</si>
  <si>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</si>
  <si>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</si>
  <si>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</si>
  <si>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</si>
  <si>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</si>
  <si>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</si>
  <si>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</si>
  <si>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</si>
  <si>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</si>
  <si>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</si>
  <si>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</si>
  <si>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</si>
  <si>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</si>
  <si>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</si>
  <si>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</si>
  <si>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</si>
  <si>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</si>
  <si>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</si>
  <si>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</si>
  <si>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</si>
  <si>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</si>
  <si>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</si>
  <si>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</si>
  <si>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</si>
  <si>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</si>
  <si>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</si>
  <si>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</si>
  <si>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</si>
  <si>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</si>
  <si>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</si>
  <si>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Explain the difference between Relative , Absolute and Mixed Cell Referencing.</t>
  </si>
  <si>
    <t>You have the following dataset:</t>
  </si>
  <si>
    <t>VEHICLE</t>
  </si>
  <si>
    <t>CAR</t>
  </si>
  <si>
    <t>BICYCLE</t>
  </si>
  <si>
    <t>AUTO-RIKSHAW</t>
  </si>
  <si>
    <t>PRICE</t>
  </si>
  <si>
    <t>ANS</t>
  </si>
  <si>
    <t>Cell Referencing in Excel controls how cell addresses change when formulas are copied.</t>
  </si>
  <si>
    <t xml:space="preserve">Using the dataset </t>
  </si>
  <si>
    <r>
      <t xml:space="preserve">If the tax rate (10%) is in </t>
    </r>
    <r>
      <rPr>
        <b/>
        <sz val="10"/>
        <color rgb="FF000000"/>
        <rFont val="Arial"/>
        <family val="2"/>
        <scheme val="minor"/>
      </rPr>
      <t>B5</t>
    </r>
    <r>
      <rPr>
        <sz val="10"/>
        <color rgb="FF000000"/>
        <rFont val="Arial"/>
        <family val="2"/>
        <scheme val="minor"/>
      </rPr>
      <t xml:space="preserve"> and we calculate tax in </t>
    </r>
    <r>
      <rPr>
        <b/>
        <sz val="10"/>
        <color rgb="FF000000"/>
        <rFont val="Arial"/>
        <family val="2"/>
        <scheme val="minor"/>
      </rPr>
      <t>C2</t>
    </r>
    <r>
      <rPr>
        <sz val="10"/>
        <color rgb="FF000000"/>
        <rFont val="Arial"/>
        <family val="2"/>
        <scheme val="minor"/>
      </rPr>
      <t>:</t>
    </r>
  </si>
  <si>
    <r>
      <rPr>
        <b/>
        <sz val="10"/>
        <color rgb="FF000000"/>
        <rFont val="Arial"/>
        <family val="2"/>
        <scheme val="minor"/>
      </rPr>
      <t>Absolute ($B$5):</t>
    </r>
    <r>
      <rPr>
        <sz val="10"/>
        <color rgb="FF000000"/>
        <rFont val="Arial"/>
        <family val="2"/>
        <scheme val="minor"/>
      </rPr>
      <t xml:space="preserve"> Remains fixed (always refers to the tax rate).</t>
    </r>
  </si>
  <si>
    <r>
      <t>Relative (B2):</t>
    </r>
    <r>
      <rPr>
        <sz val="10"/>
        <color rgb="FF000000"/>
        <rFont val="Arial"/>
        <family val="2"/>
        <scheme val="minor"/>
      </rPr>
      <t xml:space="preserve"> Changes when copied (next row becomes </t>
    </r>
    <r>
      <rPr>
        <b/>
        <sz val="10"/>
        <color rgb="FF000000"/>
        <rFont val="Arial Unicode MS"/>
      </rPr>
      <t>B3</t>
    </r>
    <r>
      <rPr>
        <sz val="10"/>
        <color rgb="FF000000"/>
        <rFont val="Arial"/>
        <family val="2"/>
        <scheme val="minor"/>
      </rPr>
      <t>).</t>
    </r>
  </si>
  <si>
    <r>
      <t>Mixed ($B2 or B$2):</t>
    </r>
    <r>
      <rPr>
        <sz val="10"/>
        <color rgb="FF000000"/>
        <rFont val="Arial"/>
        <family val="2"/>
        <scheme val="minor"/>
      </rPr>
      <t xml:space="preserve"> Either the column or row stays fixed.</t>
    </r>
  </si>
  <si>
    <t>Example formula:</t>
  </si>
  <si>
    <r>
      <t xml:space="preserve">  </t>
    </r>
    <r>
      <rPr>
        <b/>
        <sz val="10"/>
        <color rgb="FF000000"/>
        <rFont val="Arial Unicode MS"/>
      </rPr>
      <t>=B2*$B$5 → B2</t>
    </r>
    <r>
      <rPr>
        <sz val="10"/>
        <color rgb="FF000000"/>
        <rFont val="Arial Unicode MS"/>
      </rPr>
      <t xml:space="preserve"> changes for each vehicle</t>
    </r>
    <r>
      <rPr>
        <b/>
        <sz val="10"/>
        <color rgb="FF000000"/>
        <rFont val="Arial Unicode MS"/>
      </rPr>
      <t>, $B$5</t>
    </r>
    <r>
      <rPr>
        <sz val="10"/>
        <color rgb="FF000000"/>
        <rFont val="Arial Unicode MS"/>
      </rPr>
      <t xml:space="preserve"> stays constant</t>
    </r>
    <r>
      <rPr>
        <b/>
        <sz val="10"/>
        <color rgb="FF000000"/>
        <rFont val="Arial Unicode MS"/>
      </rPr>
      <t>.</t>
    </r>
  </si>
  <si>
    <t>Write a formula to calculate the total sales of Car and Bicyle only.</t>
  </si>
  <si>
    <t xml:space="preserve">  =SUM(G3:G4)</t>
  </si>
  <si>
    <t xml:space="preserve"> Using the data below, write a formula to calculate the average sales of items</t>
  </si>
  <si>
    <t>priced above 100 but less than 300:</t>
  </si>
  <si>
    <t>ITEMS</t>
  </si>
  <si>
    <t xml:space="preserve">PRICE </t>
  </si>
  <si>
    <t>SALES</t>
  </si>
  <si>
    <t>item A</t>
  </si>
  <si>
    <t>item B</t>
  </si>
  <si>
    <t>item C</t>
  </si>
  <si>
    <t xml:space="preserve">  =AVERAGEIFS(H19:H21, G19:G21, "&gt;100",G19:G21, "&lt;300")</t>
  </si>
  <si>
    <t>4.Count how many customer names are recorded.</t>
  </si>
  <si>
    <t xml:space="preserve"> =COUNT(A2:A51)</t>
  </si>
  <si>
    <t>5.Calculate the Total Sales for each row using a formula.</t>
  </si>
  <si>
    <t xml:space="preserve">  =SUM(F2:F51)</t>
  </si>
  <si>
    <t>6. Calculate the total sales of Notebooks in the North region only.</t>
  </si>
  <si>
    <t xml:space="preserve">  =SUMIFS(F2:F51,C2:C51,"North",D2:D51,"Notebook")</t>
  </si>
  <si>
    <t>7.Create a column chart showing total sales by product.</t>
  </si>
  <si>
    <t>Sum of UnitPrice</t>
  </si>
  <si>
    <t>8. Insert a line chart showing daily sales trend.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</si>
</sst>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10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 Unicode MS"/>
    </font>
    <font>
      <b/>
      <sz val="10"/>
      <color rgb="FF00000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/>
    <xf numFmtId="0" fontId="6" fillId="0" borderId="0" xfId="0" applyFont="1" applyBorder="1"/>
    <xf numFmtId="0" fontId="7" fillId="0" borderId="0" xfId="0" applyFont="1"/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2" borderId="1" xfId="0" applyFill="1" applyBorder="1"/>
    <xf numFmtId="0" fontId="7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3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6" fillId="3" borderId="3" xfId="0" applyFont="1" applyFill="1" applyBorder="1" applyAlignment="1">
      <alignment horizontal="right"/>
    </xf>
    <xf numFmtId="0" fontId="7" fillId="3" borderId="4" xfId="0" applyFont="1" applyFill="1" applyBorder="1"/>
    <xf numFmtId="0" fontId="4" fillId="3" borderId="4" xfId="0" applyFont="1" applyFill="1" applyBorder="1"/>
    <xf numFmtId="0" fontId="0" fillId="3" borderId="5" xfId="0" applyFill="1" applyBorder="1"/>
    <xf numFmtId="0" fontId="8" fillId="3" borderId="6" xfId="0" applyFont="1" applyFill="1" applyBorder="1"/>
    <xf numFmtId="0" fontId="5" fillId="3" borderId="7" xfId="0" applyFont="1" applyFill="1" applyBorder="1"/>
    <xf numFmtId="0" fontId="5" fillId="3" borderId="4" xfId="0" applyFont="1" applyFill="1" applyBorder="1"/>
    <xf numFmtId="0" fontId="6" fillId="3" borderId="2" xfId="0" applyFont="1" applyFill="1" applyBorder="1" applyAlignment="1">
      <alignment horizontal="right"/>
    </xf>
    <xf numFmtId="0" fontId="7" fillId="3" borderId="6" xfId="0" applyFont="1" applyFill="1" applyBorder="1"/>
    <xf numFmtId="0" fontId="4" fillId="2" borderId="1" xfId="0" applyFont="1" applyFill="1" applyBorder="1" applyAlignment="1">
      <alignment horizontal="center"/>
    </xf>
    <xf numFmtId="0" fontId="5" fillId="3" borderId="3" xfId="0" applyFont="1" applyFill="1" applyBorder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ASSIGNMENT1 SOUMYA PW.xlsx]QUESTION 7!PivotTable7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7'!$B$3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'QUESTION 7'!$A$4:$A$8</c:f>
              <c:strCache>
                <c:ptCount val="5"/>
                <c:pt idx="0">
                  <c:v>Eraser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  <c:pt idx="4">
                  <c:v>Pencil</c:v>
                </c:pt>
              </c:strCache>
            </c:strRef>
          </c:cat>
          <c:val>
            <c:numRef>
              <c:f>'QUESTION 7'!$B$4:$B$8</c:f>
              <c:numCache>
                <c:formatCode>General</c:formatCode>
                <c:ptCount val="5"/>
                <c:pt idx="0">
                  <c:v>72</c:v>
                </c:pt>
                <c:pt idx="1">
                  <c:v>225</c:v>
                </c:pt>
                <c:pt idx="2">
                  <c:v>650</c:v>
                </c:pt>
                <c:pt idx="3">
                  <c:v>100</c:v>
                </c:pt>
                <c:pt idx="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E7-40A6-B2BD-0383DFFAFDC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8719920"/>
        <c:axId val="138718000"/>
      </c:barChart>
      <c:catAx>
        <c:axId val="13871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18000"/>
        <c:crosses val="autoZero"/>
        <c:auto val="1"/>
        <c:lblAlgn val="ctr"/>
        <c:lblOffset val="100"/>
        <c:noMultiLvlLbl val="0"/>
      </c:catAx>
      <c:valAx>
        <c:axId val="13871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1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  <cx:data id="1">
      <cx:numDim type="val">
        <cx:f>_xlchart.v1.15</cx:f>
      </cx:numDim>
    </cx:data>
    <cx:data id="2">
      <cx:numDim type="val">
        <cx:f>_xlchart.v1.17</cx:f>
      </cx:numDim>
    </cx:data>
  </cx:chartData>
  <cx:chart>
    <cx:title pos="t" align="ctr" overlay="0">
      <cx:tx>
        <cx:txData>
          <cx:v>DAILY SALES TREND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chemeClr val="bg1"/>
              </a:solidFill>
              <a:latin typeface="Arial"/>
              <a:cs typeface="Arial"/>
            </a:rPr>
            <a:t>DAILY SALES TREND</a:t>
          </a:r>
        </a:p>
      </cx:txPr>
    </cx:title>
    <cx:plotArea>
      <cx:plotAreaRegion>
        <cx:series layoutId="clusteredColumn" uniqueId="{958B2454-5DD2-4E24-8643-0022100CA35A}" formatIdx="0">
          <cx:tx>
            <cx:txData>
              <cx:f>_xlchart.v1.12</cx:f>
              <cx:v>Quantity</cx:v>
            </cx:txData>
          </cx:tx>
          <cx:dataId val="0"/>
          <cx:layoutPr>
            <cx:binning intervalClosed="r"/>
          </cx:layoutPr>
          <cx:axisId val="1"/>
        </cx:series>
        <cx:series layoutId="paretoLine" ownerIdx="0" uniqueId="{F39EE6A6-5AB4-486F-891A-40A4FB1939C6}" formatIdx="1">
          <cx:axisId val="2"/>
        </cx:series>
        <cx:series layoutId="clusteredColumn" hidden="1" uniqueId="{3A16D039-2B73-48E7-8C2F-6095A533DAB2}" formatIdx="2">
          <cx:tx>
            <cx:txData>
              <cx:f>_xlchart.v1.14</cx:f>
              <cx:v>UnitPrice</cx:v>
            </cx:txData>
          </cx:tx>
          <cx:dataId val="1"/>
          <cx:layoutPr>
            <cx:binning intervalClosed="r"/>
          </cx:layoutPr>
          <cx:axisId val="1"/>
        </cx:series>
        <cx:series layoutId="paretoLine" ownerIdx="2" uniqueId="{038FEF05-B934-47AF-8642-CEB07A7E2C48}" formatIdx="3">
          <cx:axisId val="2"/>
        </cx:series>
        <cx:series layoutId="clusteredColumn" hidden="1" uniqueId="{E61F8E34-69A3-47B7-9F6B-8C81D66533F0}" formatIdx="4">
          <cx:tx>
            <cx:txData>
              <cx:f>_xlchart.v1.16</cx:f>
              <cx:v>OrderDate</cx:v>
            </cx:txData>
          </cx:tx>
          <cx:dataId val="2"/>
          <cx:layoutPr>
            <cx:binning intervalClosed="r"/>
          </cx:layoutPr>
          <cx:axisId val="1"/>
        </cx:series>
        <cx:series layoutId="paretoLine" ownerIdx="4" uniqueId="{5EBF62FC-D291-4404-BECF-238B7D416885}" formatIdx="5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327660</xdr:colOff>
      <xdr:row>5</xdr:row>
      <xdr:rowOff>68580</xdr:rowOff>
    </xdr:from>
    <xdr:to>
      <xdr:col>14</xdr:col>
      <xdr:colOff>190500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52BED4-C94D-BAB9-8419-4E815DCA0C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99060</xdr:colOff>
      <xdr:row>5</xdr:row>
      <xdr:rowOff>11430</xdr:rowOff>
    </xdr:from>
    <xdr:to>
      <xdr:col>17</xdr:col>
      <xdr:colOff>144780</xdr:colOff>
      <xdr:row>25</xdr:row>
      <xdr:rowOff>60960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CAF180B-EFA6-AA48-43FB-37730BCFDF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95800" y="895350"/>
              <a:ext cx="6141720" cy="37071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umya khosla" refreshedDate="45967.716800115741" createdVersion="8" refreshedVersion="8" minRefreshableVersion="3" recordCount="50" xr:uid="{FE100E35-A6F0-49EB-B242-056AAE0D43D7}">
  <cacheSource type="worksheet">
    <worksheetSource ref="A1:G51" sheet="QUESTION4,5&amp;6"/>
  </cacheSource>
  <cacheFields count="7">
    <cacheField name="OrderID" numFmtId="0">
      <sharedItems containsSemiMixedTypes="0" containsString="0" containsNumber="1" containsInteger="1" minValue="1001" maxValue="1050"/>
    </cacheField>
    <cacheField name="CustomerName" numFmtId="0">
      <sharedItems/>
    </cacheField>
    <cacheField name="Region" numFmtId="0">
      <sharedItems/>
    </cacheField>
    <cacheField name="Product" numFmtId="0">
      <sharedItems count="5">
        <s v="Notebook"/>
        <s v="Pen"/>
        <s v="Marker"/>
        <s v="Pencil"/>
        <s v="Eraser"/>
      </sharedItems>
    </cacheField>
    <cacheField name="Quantity" numFmtId="0">
      <sharedItems containsSemiMixedTypes="0" containsString="0" containsNumber="1" containsInteger="1" minValue="5" maxValue="40"/>
    </cacheField>
    <cacheField name="UnitPrice" numFmtId="0">
      <sharedItems containsSemiMixedTypes="0" containsString="0" containsNumber="1" containsInteger="1" minValue="5" maxValue="50"/>
    </cacheField>
    <cacheField name="OrderDate" numFmtId="0">
      <sharedItems containsDate="1" containsMixedTypes="1" minDate="2024-01-02T00:00:00" maxDate="2024-12-03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s v="Amit Sharma"/>
    <s v="North"/>
    <x v="0"/>
    <n v="10"/>
    <n v="50"/>
    <d v="2024-05-01T00:00:00"/>
  </r>
  <r>
    <n v="1002"/>
    <s v="Neha Verma"/>
    <s v="South"/>
    <x v="1"/>
    <n v="20"/>
    <n v="10"/>
    <d v="2024-06-01T00:00:00"/>
  </r>
  <r>
    <n v="1003"/>
    <s v="Rahul Singh"/>
    <s v="East"/>
    <x v="2"/>
    <n v="15"/>
    <n v="25"/>
    <d v="2024-07-01T00:00:00"/>
  </r>
  <r>
    <n v="1004"/>
    <s v="Pooja Mehta"/>
    <s v="West"/>
    <x v="0"/>
    <n v="5"/>
    <n v="50"/>
    <d v="2024-08-01T00:00:00"/>
  </r>
  <r>
    <n v="1005"/>
    <s v="Ankit Jain"/>
    <s v="North"/>
    <x v="3"/>
    <n v="30"/>
    <n v="5"/>
    <d v="2024-10-01T00:00:00"/>
  </r>
  <r>
    <n v="1006"/>
    <s v="Sneha Patel"/>
    <s v="South"/>
    <x v="0"/>
    <n v="12"/>
    <n v="50"/>
    <d v="2024-11-01T00:00:00"/>
  </r>
  <r>
    <n v="1007"/>
    <s v="Vikas Gupta"/>
    <s v="East"/>
    <x v="4"/>
    <n v="25"/>
    <n v="8"/>
    <s v="13-01-2024"/>
  </r>
  <r>
    <n v="1008"/>
    <s v="Meera Nair"/>
    <s v="West"/>
    <x v="1"/>
    <n v="18"/>
    <n v="10"/>
    <s v="15-01-2024"/>
  </r>
  <r>
    <n v="1009"/>
    <s v="Anjali Rao"/>
    <s v="North"/>
    <x v="2"/>
    <n v="22"/>
    <n v="25"/>
    <s v="17-01-2024"/>
  </r>
  <r>
    <n v="1010"/>
    <s v="Manoj Das"/>
    <s v="South"/>
    <x v="0"/>
    <n v="8"/>
    <n v="50"/>
    <s v="18-01-2024"/>
  </r>
  <r>
    <n v="1011"/>
    <s v="Ritika Sen"/>
    <s v="East"/>
    <x v="3"/>
    <n v="40"/>
    <n v="5"/>
    <s v="19-01-2024"/>
  </r>
  <r>
    <n v="1012"/>
    <s v="Karan Malhotra"/>
    <s v="West"/>
    <x v="4"/>
    <n v="35"/>
    <n v="8"/>
    <s v="20-01-2024"/>
  </r>
  <r>
    <n v="1013"/>
    <s v="Aryan Joshi"/>
    <s v="North"/>
    <x v="0"/>
    <n v="14"/>
    <n v="50"/>
    <s v="22-01-2024"/>
  </r>
  <r>
    <n v="1014"/>
    <s v="Divya Kapoor"/>
    <s v="South"/>
    <x v="1"/>
    <n v="28"/>
    <n v="10"/>
    <s v="23-01-2024"/>
  </r>
  <r>
    <n v="1015"/>
    <s v="Sahil Arora"/>
    <s v="East"/>
    <x v="2"/>
    <n v="12"/>
    <n v="25"/>
    <s v="24-01-2024"/>
  </r>
  <r>
    <n v="1016"/>
    <s v="Muskan Jain"/>
    <s v="West"/>
    <x v="3"/>
    <n v="25"/>
    <n v="5"/>
    <s v="26-01-2024"/>
  </r>
  <r>
    <n v="1017"/>
    <s v="Rohan Gupta"/>
    <s v="North"/>
    <x v="4"/>
    <n v="20"/>
    <n v="8"/>
    <s v="28-01-2024"/>
  </r>
  <r>
    <n v="1018"/>
    <s v="Nidhi Sharma"/>
    <s v="South"/>
    <x v="0"/>
    <n v="10"/>
    <n v="50"/>
    <s v="29-01-2024"/>
  </r>
  <r>
    <n v="1019"/>
    <s v="Tarun Verma"/>
    <s v="East"/>
    <x v="1"/>
    <n v="15"/>
    <n v="10"/>
    <s v="30-01-2024"/>
  </r>
  <r>
    <n v="1020"/>
    <s v="Simran Kaur"/>
    <s v="West"/>
    <x v="2"/>
    <n v="18"/>
    <n v="25"/>
    <d v="2024-01-02T00:00:00"/>
  </r>
  <r>
    <n v="1021"/>
    <s v="Deepak Rao"/>
    <s v="North"/>
    <x v="0"/>
    <n v="9"/>
    <n v="50"/>
    <d v="2024-02-02T00:00:00"/>
  </r>
  <r>
    <n v="1022"/>
    <s v="Payal Mehta"/>
    <s v="South"/>
    <x v="3"/>
    <n v="35"/>
    <n v="5"/>
    <d v="2024-03-02T00:00:00"/>
  </r>
  <r>
    <n v="1023"/>
    <s v="Aditya Singh"/>
    <s v="East"/>
    <x v="4"/>
    <n v="30"/>
    <n v="8"/>
    <d v="2024-04-02T00:00:00"/>
  </r>
  <r>
    <n v="1024"/>
    <s v="Shreya Nair"/>
    <s v="West"/>
    <x v="0"/>
    <n v="11"/>
    <n v="50"/>
    <d v="2024-06-02T00:00:00"/>
  </r>
  <r>
    <n v="1025"/>
    <s v="Sanjay Kumar"/>
    <s v="North"/>
    <x v="1"/>
    <n v="14"/>
    <n v="10"/>
    <d v="2024-07-02T00:00:00"/>
  </r>
  <r>
    <n v="1026"/>
    <s v="Aarti Sharma"/>
    <s v="South"/>
    <x v="2"/>
    <n v="16"/>
    <n v="25"/>
    <d v="2024-08-02T00:00:00"/>
  </r>
  <r>
    <n v="1027"/>
    <s v="Rajesh Patel"/>
    <s v="East"/>
    <x v="3"/>
    <n v="22"/>
    <n v="5"/>
    <d v="2024-09-02T00:00:00"/>
  </r>
  <r>
    <n v="1028"/>
    <s v="Preeti Joshi"/>
    <s v="West"/>
    <x v="4"/>
    <n v="27"/>
    <n v="8"/>
    <d v="2024-10-02T00:00:00"/>
  </r>
  <r>
    <n v="1029"/>
    <s v="Anurag Mishra"/>
    <s v="North"/>
    <x v="0"/>
    <n v="13"/>
    <n v="50"/>
    <d v="2024-12-02T00:00:00"/>
  </r>
  <r>
    <n v="1030"/>
    <s v="Sanya Kapoor"/>
    <s v="South"/>
    <x v="1"/>
    <n v="32"/>
    <n v="10"/>
    <s v="13-02-2024"/>
  </r>
  <r>
    <n v="1031"/>
    <s v="Harsh Yadav"/>
    <s v="East"/>
    <x v="2"/>
    <n v="10"/>
    <n v="25"/>
    <s v="14-02-2024"/>
  </r>
  <r>
    <n v="1032"/>
    <s v="Kajal Rani"/>
    <s v="West"/>
    <x v="3"/>
    <n v="18"/>
    <n v="5"/>
    <s v="16-02-2024"/>
  </r>
  <r>
    <n v="1033"/>
    <s v="Varun Sharma"/>
    <s v="North"/>
    <x v="4"/>
    <n v="22"/>
    <n v="8"/>
    <s v="17-02-2024"/>
  </r>
  <r>
    <n v="1034"/>
    <s v="Swati Arora"/>
    <s v="South"/>
    <x v="0"/>
    <n v="17"/>
    <n v="50"/>
    <s v="18-02-2024"/>
  </r>
  <r>
    <n v="1035"/>
    <s v="Akhil Jain"/>
    <s v="East"/>
    <x v="1"/>
    <n v="19"/>
    <n v="10"/>
    <s v="19-02-2024"/>
  </r>
  <r>
    <n v="1036"/>
    <s v="Priyanka Das"/>
    <s v="West"/>
    <x v="2"/>
    <n v="15"/>
    <n v="25"/>
    <s v="21-02-2024"/>
  </r>
  <r>
    <n v="1037"/>
    <s v="Ravi Nair"/>
    <s v="North"/>
    <x v="3"/>
    <n v="28"/>
    <n v="5"/>
    <s v="22-02-2024"/>
  </r>
  <r>
    <n v="1038"/>
    <s v="Komal Singh"/>
    <s v="South"/>
    <x v="4"/>
    <n v="24"/>
    <n v="8"/>
    <s v="23-02-2024"/>
  </r>
  <r>
    <n v="1039"/>
    <s v="Ayesha Khan"/>
    <s v="East"/>
    <x v="0"/>
    <n v="16"/>
    <n v="50"/>
    <s v="25-02-2024"/>
  </r>
  <r>
    <n v="1040"/>
    <s v="Arjun Mehta"/>
    <s v="West"/>
    <x v="1"/>
    <n v="27"/>
    <n v="10"/>
    <s v="26-02-2024"/>
  </r>
  <r>
    <n v="1041"/>
    <s v="Sonali Gupta"/>
    <s v="North"/>
    <x v="2"/>
    <n v="21"/>
    <n v="25"/>
    <s v="27-02-2024"/>
  </r>
  <r>
    <n v="1042"/>
    <s v="Neeraj Kapoor"/>
    <s v="South"/>
    <x v="3"/>
    <n v="30"/>
    <n v="5"/>
    <s v="28-02-2024"/>
  </r>
  <r>
    <n v="1043"/>
    <s v="Shruti Sharma"/>
    <s v="East"/>
    <x v="4"/>
    <n v="26"/>
    <n v="8"/>
    <d v="2024-01-03T00:00:00"/>
  </r>
  <r>
    <n v="1044"/>
    <s v="Yash Arora"/>
    <s v="West"/>
    <x v="0"/>
    <n v="14"/>
    <n v="50"/>
    <d v="2024-02-03T00:00:00"/>
  </r>
  <r>
    <n v="1045"/>
    <s v="Manish Das"/>
    <s v="North"/>
    <x v="1"/>
    <n v="20"/>
    <n v="10"/>
    <d v="2024-03-03T00:00:00"/>
  </r>
  <r>
    <n v="1046"/>
    <s v="Rupal Nair"/>
    <s v="South"/>
    <x v="2"/>
    <n v="17"/>
    <n v="25"/>
    <d v="2024-04-03T00:00:00"/>
  </r>
  <r>
    <n v="1047"/>
    <s v="Sonia Verma"/>
    <s v="East"/>
    <x v="3"/>
    <n v="19"/>
    <n v="5"/>
    <d v="2024-05-03T00:00:00"/>
  </r>
  <r>
    <n v="1048"/>
    <s v="Kunal Singh"/>
    <s v="West"/>
    <x v="4"/>
    <n v="32"/>
    <n v="8"/>
    <d v="2024-06-03T00:00:00"/>
  </r>
  <r>
    <n v="1049"/>
    <s v="Ritika Jain"/>
    <s v="North"/>
    <x v="0"/>
    <n v="12"/>
    <n v="50"/>
    <d v="2024-07-03T00:00:00"/>
  </r>
  <r>
    <n v="1050"/>
    <s v="Vivek Malhotra"/>
    <s v="South"/>
    <x v="1"/>
    <n v="25"/>
    <n v="10"/>
    <d v="2024-08-03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6C98F4-2F44-4347-81AF-6667EBCE7CAC}" name="PivotTable7" cacheId="1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5">
  <location ref="A3:B8" firstHeaderRow="1" firstDataRow="1" firstDataCol="1"/>
  <pivotFields count="7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4"/>
        <item x="2"/>
        <item x="0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UnitPrice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89691-309D-4262-9381-0FB7FDE8F7A7}">
  <dimension ref="A3:H8"/>
  <sheetViews>
    <sheetView workbookViewId="0">
      <selection activeCell="O4" sqref="O4"/>
    </sheetView>
  </sheetViews>
  <sheetFormatPr defaultRowHeight="13.2"/>
  <cols>
    <col min="1" max="1" width="10.21875" bestFit="1" customWidth="1"/>
    <col min="2" max="2" width="15.77734375" bestFit="1" customWidth="1"/>
  </cols>
  <sheetData>
    <row r="3" spans="1:8">
      <c r="A3" s="29" t="s">
        <v>3</v>
      </c>
      <c r="B3" t="s">
        <v>126</v>
      </c>
      <c r="H3" s="7" t="s">
        <v>125</v>
      </c>
    </row>
    <row r="4" spans="1:8">
      <c r="A4" t="s">
        <v>22</v>
      </c>
      <c r="B4" s="30">
        <v>72</v>
      </c>
    </row>
    <row r="5" spans="1:8">
      <c r="A5" t="s">
        <v>15</v>
      </c>
      <c r="B5" s="30">
        <v>225</v>
      </c>
    </row>
    <row r="6" spans="1:8">
      <c r="A6" t="s">
        <v>9</v>
      </c>
      <c r="B6" s="30">
        <v>650</v>
      </c>
      <c r="H6" s="7"/>
    </row>
    <row r="7" spans="1:8">
      <c r="A7" t="s">
        <v>12</v>
      </c>
      <c r="B7" s="30">
        <v>100</v>
      </c>
    </row>
    <row r="8" spans="1:8">
      <c r="A8" t="s">
        <v>19</v>
      </c>
      <c r="B8" s="30">
        <v>45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6DBF0-03BF-4F94-AB14-E4261D98918B}">
  <dimension ref="B3:I53"/>
  <sheetViews>
    <sheetView workbookViewId="0">
      <selection activeCell="R27" sqref="R27"/>
    </sheetView>
  </sheetViews>
  <sheetFormatPr defaultRowHeight="13.2"/>
  <cols>
    <col min="4" max="4" width="10.77734375" customWidth="1"/>
  </cols>
  <sheetData>
    <row r="3" spans="2:9" ht="14.4">
      <c r="B3" s="1" t="s">
        <v>4</v>
      </c>
      <c r="C3" s="1" t="s">
        <v>5</v>
      </c>
      <c r="D3" s="1" t="s">
        <v>6</v>
      </c>
    </row>
    <row r="4" spans="2:9" ht="14.4">
      <c r="B4" s="2">
        <v>10</v>
      </c>
      <c r="C4" s="2">
        <v>50</v>
      </c>
      <c r="D4" s="4">
        <v>45413</v>
      </c>
      <c r="I4" s="7" t="s">
        <v>127</v>
      </c>
    </row>
    <row r="5" spans="2:9" ht="14.4">
      <c r="B5" s="2">
        <v>20</v>
      </c>
      <c r="C5" s="2">
        <v>10</v>
      </c>
      <c r="D5" s="4">
        <v>45444</v>
      </c>
    </row>
    <row r="6" spans="2:9" ht="14.4">
      <c r="B6" s="2">
        <v>15</v>
      </c>
      <c r="C6" s="2">
        <v>25</v>
      </c>
      <c r="D6" s="4">
        <v>45474</v>
      </c>
    </row>
    <row r="7" spans="2:9" ht="14.4">
      <c r="B7" s="2">
        <v>5</v>
      </c>
      <c r="C7" s="2">
        <v>50</v>
      </c>
      <c r="D7" s="4">
        <v>45505</v>
      </c>
    </row>
    <row r="8" spans="2:9" ht="14.4">
      <c r="B8" s="2">
        <v>30</v>
      </c>
      <c r="C8" s="2">
        <v>5</v>
      </c>
      <c r="D8" s="4">
        <v>45566</v>
      </c>
    </row>
    <row r="9" spans="2:9" ht="14.4">
      <c r="B9" s="2">
        <v>12</v>
      </c>
      <c r="C9" s="2">
        <v>50</v>
      </c>
      <c r="D9" s="4">
        <v>45597</v>
      </c>
    </row>
    <row r="10" spans="2:9" ht="14.4">
      <c r="B10" s="2">
        <v>25</v>
      </c>
      <c r="C10" s="2">
        <v>8</v>
      </c>
      <c r="D10" s="2" t="s">
        <v>23</v>
      </c>
    </row>
    <row r="11" spans="2:9" ht="14.4">
      <c r="B11" s="2">
        <v>18</v>
      </c>
      <c r="C11" s="2">
        <v>10</v>
      </c>
      <c r="D11" s="2" t="s">
        <v>25</v>
      </c>
    </row>
    <row r="12" spans="2:9" ht="14.4">
      <c r="B12" s="2">
        <v>22</v>
      </c>
      <c r="C12" s="2">
        <v>25</v>
      </c>
      <c r="D12" s="2" t="s">
        <v>27</v>
      </c>
    </row>
    <row r="13" spans="2:9" ht="14.4">
      <c r="B13" s="2">
        <v>8</v>
      </c>
      <c r="C13" s="2">
        <v>50</v>
      </c>
      <c r="D13" s="2" t="s">
        <v>29</v>
      </c>
    </row>
    <row r="14" spans="2:9" ht="14.4">
      <c r="B14" s="2">
        <v>40</v>
      </c>
      <c r="C14" s="2">
        <v>5</v>
      </c>
      <c r="D14" s="2" t="s">
        <v>31</v>
      </c>
    </row>
    <row r="15" spans="2:9" ht="14.4">
      <c r="B15" s="2">
        <v>35</v>
      </c>
      <c r="C15" s="2">
        <v>8</v>
      </c>
      <c r="D15" s="2" t="s">
        <v>33</v>
      </c>
    </row>
    <row r="16" spans="2:9" ht="14.4">
      <c r="B16" s="2">
        <v>14</v>
      </c>
      <c r="C16" s="2">
        <v>50</v>
      </c>
      <c r="D16" s="2" t="s">
        <v>35</v>
      </c>
    </row>
    <row r="17" spans="2:4" ht="14.4">
      <c r="B17" s="2">
        <v>28</v>
      </c>
      <c r="C17" s="2">
        <v>10</v>
      </c>
      <c r="D17" s="2" t="s">
        <v>37</v>
      </c>
    </row>
    <row r="18" spans="2:4" ht="14.4">
      <c r="B18" s="2">
        <v>12</v>
      </c>
      <c r="C18" s="2">
        <v>25</v>
      </c>
      <c r="D18" s="2" t="s">
        <v>39</v>
      </c>
    </row>
    <row r="19" spans="2:4" ht="14.4">
      <c r="B19" s="2">
        <v>25</v>
      </c>
      <c r="C19" s="2">
        <v>5</v>
      </c>
      <c r="D19" s="2" t="s">
        <v>41</v>
      </c>
    </row>
    <row r="20" spans="2:4" ht="14.4">
      <c r="B20" s="2">
        <v>20</v>
      </c>
      <c r="C20" s="2">
        <v>8</v>
      </c>
      <c r="D20" s="2" t="s">
        <v>43</v>
      </c>
    </row>
    <row r="21" spans="2:4" ht="14.4">
      <c r="B21" s="2">
        <v>10</v>
      </c>
      <c r="C21" s="2">
        <v>50</v>
      </c>
      <c r="D21" s="2" t="s">
        <v>45</v>
      </c>
    </row>
    <row r="22" spans="2:4" ht="14.4">
      <c r="B22" s="2">
        <v>15</v>
      </c>
      <c r="C22" s="2">
        <v>10</v>
      </c>
      <c r="D22" s="2" t="s">
        <v>47</v>
      </c>
    </row>
    <row r="23" spans="2:4" ht="14.4">
      <c r="B23" s="2">
        <v>18</v>
      </c>
      <c r="C23" s="2">
        <v>25</v>
      </c>
      <c r="D23" s="4">
        <v>45293</v>
      </c>
    </row>
    <row r="24" spans="2:4" ht="14.4">
      <c r="B24" s="2">
        <v>9</v>
      </c>
      <c r="C24" s="2">
        <v>50</v>
      </c>
      <c r="D24" s="4">
        <v>45324</v>
      </c>
    </row>
    <row r="25" spans="2:4" ht="14.4">
      <c r="B25" s="2">
        <v>35</v>
      </c>
      <c r="C25" s="2">
        <v>5</v>
      </c>
      <c r="D25" s="4">
        <v>45353</v>
      </c>
    </row>
    <row r="26" spans="2:4" ht="14.4">
      <c r="B26" s="2">
        <v>30</v>
      </c>
      <c r="C26" s="2">
        <v>8</v>
      </c>
      <c r="D26" s="4">
        <v>45384</v>
      </c>
    </row>
    <row r="27" spans="2:4" ht="14.4">
      <c r="B27" s="2">
        <v>11</v>
      </c>
      <c r="C27" s="2">
        <v>50</v>
      </c>
      <c r="D27" s="4">
        <v>45445</v>
      </c>
    </row>
    <row r="28" spans="2:4" ht="14.4">
      <c r="B28" s="2">
        <v>14</v>
      </c>
      <c r="C28" s="2">
        <v>10</v>
      </c>
      <c r="D28" s="4">
        <v>45475</v>
      </c>
    </row>
    <row r="29" spans="2:4" ht="14.4">
      <c r="B29" s="2">
        <v>16</v>
      </c>
      <c r="C29" s="2">
        <v>25</v>
      </c>
      <c r="D29" s="4">
        <v>45506</v>
      </c>
    </row>
    <row r="30" spans="2:4" ht="14.4">
      <c r="B30" s="2">
        <v>22</v>
      </c>
      <c r="C30" s="2">
        <v>5</v>
      </c>
      <c r="D30" s="4">
        <v>45537</v>
      </c>
    </row>
    <row r="31" spans="2:4" ht="14.4">
      <c r="B31" s="2">
        <v>27</v>
      </c>
      <c r="C31" s="2">
        <v>8</v>
      </c>
      <c r="D31" s="4">
        <v>45567</v>
      </c>
    </row>
    <row r="32" spans="2:4" ht="14.4">
      <c r="B32" s="2">
        <v>13</v>
      </c>
      <c r="C32" s="2">
        <v>50</v>
      </c>
      <c r="D32" s="4">
        <v>45628</v>
      </c>
    </row>
    <row r="33" spans="2:4" ht="14.4">
      <c r="B33" s="2">
        <v>32</v>
      </c>
      <c r="C33" s="2">
        <v>10</v>
      </c>
      <c r="D33" s="2" t="s">
        <v>59</v>
      </c>
    </row>
    <row r="34" spans="2:4" ht="14.4">
      <c r="B34" s="2">
        <v>10</v>
      </c>
      <c r="C34" s="2">
        <v>25</v>
      </c>
      <c r="D34" s="2" t="s">
        <v>61</v>
      </c>
    </row>
    <row r="35" spans="2:4" ht="14.4">
      <c r="B35" s="2">
        <v>18</v>
      </c>
      <c r="C35" s="2">
        <v>5</v>
      </c>
      <c r="D35" s="2" t="s">
        <v>63</v>
      </c>
    </row>
    <row r="36" spans="2:4" ht="14.4">
      <c r="B36" s="2">
        <v>22</v>
      </c>
      <c r="C36" s="2">
        <v>8</v>
      </c>
      <c r="D36" s="2" t="s">
        <v>65</v>
      </c>
    </row>
    <row r="37" spans="2:4" ht="14.4">
      <c r="B37" s="2">
        <v>17</v>
      </c>
      <c r="C37" s="2">
        <v>50</v>
      </c>
      <c r="D37" s="2" t="s">
        <v>67</v>
      </c>
    </row>
    <row r="38" spans="2:4" ht="14.4">
      <c r="B38" s="2">
        <v>19</v>
      </c>
      <c r="C38" s="2">
        <v>10</v>
      </c>
      <c r="D38" s="2" t="s">
        <v>69</v>
      </c>
    </row>
    <row r="39" spans="2:4" ht="14.4">
      <c r="B39" s="2">
        <v>15</v>
      </c>
      <c r="C39" s="2">
        <v>25</v>
      </c>
      <c r="D39" s="2" t="s">
        <v>71</v>
      </c>
    </row>
    <row r="40" spans="2:4" ht="14.4">
      <c r="B40" s="2">
        <v>28</v>
      </c>
      <c r="C40" s="2">
        <v>5</v>
      </c>
      <c r="D40" s="2" t="s">
        <v>73</v>
      </c>
    </row>
    <row r="41" spans="2:4" ht="14.4">
      <c r="B41" s="2">
        <v>24</v>
      </c>
      <c r="C41" s="2">
        <v>8</v>
      </c>
      <c r="D41" s="2" t="s">
        <v>75</v>
      </c>
    </row>
    <row r="42" spans="2:4" ht="14.4">
      <c r="B42" s="2">
        <v>16</v>
      </c>
      <c r="C42" s="2">
        <v>50</v>
      </c>
      <c r="D42" s="2" t="s">
        <v>77</v>
      </c>
    </row>
    <row r="43" spans="2:4" ht="14.4">
      <c r="B43" s="2">
        <v>27</v>
      </c>
      <c r="C43" s="2">
        <v>10</v>
      </c>
      <c r="D43" s="2" t="s">
        <v>79</v>
      </c>
    </row>
    <row r="44" spans="2:4" ht="14.4">
      <c r="B44" s="2">
        <v>21</v>
      </c>
      <c r="C44" s="2">
        <v>25</v>
      </c>
      <c r="D44" s="2" t="s">
        <v>81</v>
      </c>
    </row>
    <row r="45" spans="2:4" ht="14.4">
      <c r="B45" s="2">
        <v>30</v>
      </c>
      <c r="C45" s="2">
        <v>5</v>
      </c>
      <c r="D45" s="2" t="s">
        <v>83</v>
      </c>
    </row>
    <row r="46" spans="2:4" ht="14.4">
      <c r="B46" s="2">
        <v>26</v>
      </c>
      <c r="C46" s="2">
        <v>8</v>
      </c>
      <c r="D46" s="4">
        <v>45294</v>
      </c>
    </row>
    <row r="47" spans="2:4" ht="14.4">
      <c r="B47" s="2">
        <v>14</v>
      </c>
      <c r="C47" s="2">
        <v>50</v>
      </c>
      <c r="D47" s="4">
        <v>45325</v>
      </c>
    </row>
    <row r="48" spans="2:4" ht="14.4">
      <c r="B48" s="2">
        <v>20</v>
      </c>
      <c r="C48" s="2">
        <v>10</v>
      </c>
      <c r="D48" s="4">
        <v>45354</v>
      </c>
    </row>
    <row r="49" spans="2:4" ht="14.4">
      <c r="B49" s="2">
        <v>17</v>
      </c>
      <c r="C49" s="2">
        <v>25</v>
      </c>
      <c r="D49" s="4">
        <v>45385</v>
      </c>
    </row>
    <row r="50" spans="2:4" ht="14.4">
      <c r="B50" s="2">
        <v>19</v>
      </c>
      <c r="C50" s="2">
        <v>5</v>
      </c>
      <c r="D50" s="4">
        <v>45415</v>
      </c>
    </row>
    <row r="51" spans="2:4" ht="14.4">
      <c r="B51" s="2">
        <v>32</v>
      </c>
      <c r="C51" s="2">
        <v>8</v>
      </c>
      <c r="D51" s="4">
        <v>45446</v>
      </c>
    </row>
    <row r="52" spans="2:4" ht="14.4">
      <c r="B52" s="2">
        <v>12</v>
      </c>
      <c r="C52" s="2">
        <v>50</v>
      </c>
      <c r="D52" s="4">
        <v>45476</v>
      </c>
    </row>
    <row r="53" spans="2:4" ht="14.4">
      <c r="B53" s="2">
        <v>25</v>
      </c>
      <c r="C53" s="2">
        <v>10</v>
      </c>
      <c r="D53" s="4">
        <v>45507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53"/>
  <sheetViews>
    <sheetView workbookViewId="0">
      <selection activeCell="H20" sqref="H20"/>
    </sheetView>
  </sheetViews>
  <sheetFormatPr defaultColWidth="12.6640625" defaultRowHeight="15.75" customHeight="1"/>
  <sheetData>
    <row r="1" spans="1:14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4" ht="15.75" customHeight="1">
      <c r="A2" s="2">
        <v>1001</v>
      </c>
      <c r="B2" s="3" t="s">
        <v>7</v>
      </c>
      <c r="C2" s="3" t="s">
        <v>8</v>
      </c>
      <c r="D2" s="3" t="s">
        <v>9</v>
      </c>
      <c r="E2" s="2">
        <v>10</v>
      </c>
      <c r="F2" s="2">
        <v>50</v>
      </c>
      <c r="G2" s="4">
        <v>45413</v>
      </c>
      <c r="H2" s="5"/>
    </row>
    <row r="3" spans="1:14" ht="15.75" customHeight="1">
      <c r="A3" s="2">
        <v>1002</v>
      </c>
      <c r="B3" s="3" t="s">
        <v>10</v>
      </c>
      <c r="C3" s="3" t="s">
        <v>11</v>
      </c>
      <c r="D3" s="3" t="s">
        <v>12</v>
      </c>
      <c r="E3" s="2">
        <v>20</v>
      </c>
      <c r="F3" s="2">
        <v>10</v>
      </c>
      <c r="G3" s="4">
        <v>45444</v>
      </c>
    </row>
    <row r="4" spans="1:14" ht="15.75" customHeight="1">
      <c r="A4" s="2">
        <v>1003</v>
      </c>
      <c r="B4" s="3" t="s">
        <v>13</v>
      </c>
      <c r="C4" s="3" t="s">
        <v>14</v>
      </c>
      <c r="D4" s="3" t="s">
        <v>15</v>
      </c>
      <c r="E4" s="2">
        <v>15</v>
      </c>
      <c r="F4" s="2">
        <v>25</v>
      </c>
      <c r="G4" s="4">
        <v>45474</v>
      </c>
      <c r="H4" s="5"/>
    </row>
    <row r="5" spans="1:14" ht="15.75" customHeight="1">
      <c r="A5" s="2">
        <v>1004</v>
      </c>
      <c r="B5" s="3" t="s">
        <v>16</v>
      </c>
      <c r="C5" s="3" t="s">
        <v>17</v>
      </c>
      <c r="D5" s="3" t="s">
        <v>9</v>
      </c>
      <c r="E5" s="2">
        <v>5</v>
      </c>
      <c r="F5" s="2">
        <v>50</v>
      </c>
      <c r="G5" s="4">
        <v>45505</v>
      </c>
      <c r="K5" s="27" t="s">
        <v>119</v>
      </c>
      <c r="L5" s="27"/>
      <c r="M5" s="27"/>
      <c r="N5" s="27"/>
    </row>
    <row r="6" spans="1:14" ht="15.75" customHeight="1">
      <c r="A6" s="2">
        <v>1005</v>
      </c>
      <c r="B6" s="3" t="s">
        <v>18</v>
      </c>
      <c r="C6" s="3" t="s">
        <v>8</v>
      </c>
      <c r="D6" s="3" t="s">
        <v>19</v>
      </c>
      <c r="E6" s="2">
        <v>30</v>
      </c>
      <c r="F6" s="2">
        <v>5</v>
      </c>
      <c r="G6" s="4">
        <v>45566</v>
      </c>
      <c r="J6" s="28"/>
      <c r="K6">
        <f>COUNT(A2:A51)</f>
        <v>50</v>
      </c>
      <c r="L6" s="7" t="s">
        <v>120</v>
      </c>
    </row>
    <row r="7" spans="1:14" ht="15.75" customHeight="1">
      <c r="A7" s="2">
        <v>1006</v>
      </c>
      <c r="B7" s="3" t="s">
        <v>20</v>
      </c>
      <c r="C7" s="3" t="s">
        <v>11</v>
      </c>
      <c r="D7" s="3" t="s">
        <v>9</v>
      </c>
      <c r="E7" s="2">
        <v>12</v>
      </c>
      <c r="F7" s="2">
        <v>50</v>
      </c>
      <c r="G7" s="4">
        <v>45597</v>
      </c>
    </row>
    <row r="8" spans="1:14" ht="15.75" customHeight="1">
      <c r="A8" s="2">
        <v>1007</v>
      </c>
      <c r="B8" s="3" t="s">
        <v>21</v>
      </c>
      <c r="C8" s="3" t="s">
        <v>14</v>
      </c>
      <c r="D8" s="3" t="s">
        <v>22</v>
      </c>
      <c r="E8" s="2">
        <v>25</v>
      </c>
      <c r="F8" s="2">
        <v>8</v>
      </c>
      <c r="G8" s="2" t="s">
        <v>23</v>
      </c>
      <c r="K8" s="7" t="s">
        <v>121</v>
      </c>
    </row>
    <row r="9" spans="1:14" ht="15.75" customHeight="1">
      <c r="A9" s="2">
        <v>1008</v>
      </c>
      <c r="B9" s="3" t="s">
        <v>24</v>
      </c>
      <c r="C9" s="3" t="s">
        <v>17</v>
      </c>
      <c r="D9" s="3" t="s">
        <v>12</v>
      </c>
      <c r="E9" s="2">
        <v>18</v>
      </c>
      <c r="F9" s="2">
        <v>10</v>
      </c>
      <c r="G9" s="2" t="s">
        <v>25</v>
      </c>
      <c r="K9">
        <f>SUM(F2:F51)</f>
        <v>1092</v>
      </c>
      <c r="L9" s="7" t="s">
        <v>122</v>
      </c>
    </row>
    <row r="10" spans="1:14" ht="15.75" customHeight="1">
      <c r="A10" s="2">
        <v>1009</v>
      </c>
      <c r="B10" s="3" t="s">
        <v>26</v>
      </c>
      <c r="C10" s="3" t="s">
        <v>8</v>
      </c>
      <c r="D10" s="3" t="s">
        <v>15</v>
      </c>
      <c r="E10" s="2">
        <v>22</v>
      </c>
      <c r="F10" s="2">
        <v>25</v>
      </c>
      <c r="G10" s="2" t="s">
        <v>27</v>
      </c>
    </row>
    <row r="11" spans="1:14" ht="15.75" customHeight="1">
      <c r="A11" s="2">
        <v>1010</v>
      </c>
      <c r="B11" s="3" t="s">
        <v>28</v>
      </c>
      <c r="C11" s="3" t="s">
        <v>11</v>
      </c>
      <c r="D11" s="3" t="s">
        <v>9</v>
      </c>
      <c r="E11" s="2">
        <v>8</v>
      </c>
      <c r="F11" s="2">
        <v>50</v>
      </c>
      <c r="G11" s="2" t="s">
        <v>29</v>
      </c>
      <c r="K11" s="7" t="s">
        <v>123</v>
      </c>
    </row>
    <row r="12" spans="1:14" ht="15.75" customHeight="1">
      <c r="A12" s="2">
        <v>1011</v>
      </c>
      <c r="B12" s="3" t="s">
        <v>30</v>
      </c>
      <c r="C12" s="3" t="s">
        <v>14</v>
      </c>
      <c r="D12" s="3" t="s">
        <v>19</v>
      </c>
      <c r="E12" s="2">
        <v>40</v>
      </c>
      <c r="F12" s="2">
        <v>5</v>
      </c>
      <c r="G12" s="2" t="s">
        <v>31</v>
      </c>
      <c r="K12">
        <f>SUMIFS(F2:F51,C2:C51,"North",D2:D51,"Notebook")</f>
        <v>250</v>
      </c>
      <c r="L12" s="7" t="s">
        <v>124</v>
      </c>
    </row>
    <row r="13" spans="1:14" ht="15.75" customHeight="1">
      <c r="A13" s="2">
        <v>1012</v>
      </c>
      <c r="B13" s="3" t="s">
        <v>32</v>
      </c>
      <c r="C13" s="3" t="s">
        <v>17</v>
      </c>
      <c r="D13" s="3" t="s">
        <v>22</v>
      </c>
      <c r="E13" s="2">
        <v>35</v>
      </c>
      <c r="F13" s="2">
        <v>8</v>
      </c>
      <c r="G13" s="2" t="s">
        <v>33</v>
      </c>
    </row>
    <row r="14" spans="1:14" ht="15.75" customHeight="1">
      <c r="A14" s="2">
        <v>1013</v>
      </c>
      <c r="B14" s="3" t="s">
        <v>34</v>
      </c>
      <c r="C14" s="3" t="s">
        <v>8</v>
      </c>
      <c r="D14" s="3" t="s">
        <v>9</v>
      </c>
      <c r="E14" s="2">
        <v>14</v>
      </c>
      <c r="F14" s="2">
        <v>50</v>
      </c>
      <c r="G14" s="2" t="s">
        <v>35</v>
      </c>
    </row>
    <row r="15" spans="1:14" ht="15.75" customHeight="1">
      <c r="A15" s="2">
        <v>1014</v>
      </c>
      <c r="B15" s="3" t="s">
        <v>36</v>
      </c>
      <c r="C15" s="3" t="s">
        <v>11</v>
      </c>
      <c r="D15" s="3" t="s">
        <v>12</v>
      </c>
      <c r="E15" s="2">
        <v>28</v>
      </c>
      <c r="F15" s="2">
        <v>10</v>
      </c>
      <c r="G15" s="2" t="s">
        <v>37</v>
      </c>
    </row>
    <row r="16" spans="1:14" ht="15.75" customHeight="1">
      <c r="A16" s="2">
        <v>1015</v>
      </c>
      <c r="B16" s="3" t="s">
        <v>38</v>
      </c>
      <c r="C16" s="3" t="s">
        <v>14</v>
      </c>
      <c r="D16" s="3" t="s">
        <v>15</v>
      </c>
      <c r="E16" s="2">
        <v>12</v>
      </c>
      <c r="F16" s="2">
        <v>25</v>
      </c>
      <c r="G16" s="2" t="s">
        <v>39</v>
      </c>
    </row>
    <row r="17" spans="1:7" ht="15.75" customHeight="1">
      <c r="A17" s="2">
        <v>1016</v>
      </c>
      <c r="B17" s="3" t="s">
        <v>40</v>
      </c>
      <c r="C17" s="3" t="s">
        <v>17</v>
      </c>
      <c r="D17" s="3" t="s">
        <v>19</v>
      </c>
      <c r="E17" s="2">
        <v>25</v>
      </c>
      <c r="F17" s="2">
        <v>5</v>
      </c>
      <c r="G17" s="2" t="s">
        <v>41</v>
      </c>
    </row>
    <row r="18" spans="1:7" ht="15.75" customHeight="1">
      <c r="A18" s="2">
        <v>1017</v>
      </c>
      <c r="B18" s="3" t="s">
        <v>42</v>
      </c>
      <c r="C18" s="3" t="s">
        <v>8</v>
      </c>
      <c r="D18" s="3" t="s">
        <v>22</v>
      </c>
      <c r="E18" s="2">
        <v>20</v>
      </c>
      <c r="F18" s="2">
        <v>8</v>
      </c>
      <c r="G18" s="2" t="s">
        <v>43</v>
      </c>
    </row>
    <row r="19" spans="1:7" ht="15.75" customHeight="1">
      <c r="A19" s="2">
        <v>1018</v>
      </c>
      <c r="B19" s="3" t="s">
        <v>44</v>
      </c>
      <c r="C19" s="3" t="s">
        <v>11</v>
      </c>
      <c r="D19" s="3" t="s">
        <v>9</v>
      </c>
      <c r="E19" s="2">
        <v>10</v>
      </c>
      <c r="F19" s="2">
        <v>50</v>
      </c>
      <c r="G19" s="2" t="s">
        <v>45</v>
      </c>
    </row>
    <row r="20" spans="1:7" ht="15.75" customHeight="1">
      <c r="A20" s="2">
        <v>1019</v>
      </c>
      <c r="B20" s="3" t="s">
        <v>46</v>
      </c>
      <c r="C20" s="3" t="s">
        <v>14</v>
      </c>
      <c r="D20" s="3" t="s">
        <v>12</v>
      </c>
      <c r="E20" s="2">
        <v>15</v>
      </c>
      <c r="F20" s="2">
        <v>10</v>
      </c>
      <c r="G20" s="2" t="s">
        <v>47</v>
      </c>
    </row>
    <row r="21" spans="1:7" ht="15.75" customHeight="1">
      <c r="A21" s="2">
        <v>1020</v>
      </c>
      <c r="B21" s="3" t="s">
        <v>48</v>
      </c>
      <c r="C21" s="3" t="s">
        <v>17</v>
      </c>
      <c r="D21" s="3" t="s">
        <v>15</v>
      </c>
      <c r="E21" s="2">
        <v>18</v>
      </c>
      <c r="F21" s="2">
        <v>25</v>
      </c>
      <c r="G21" s="4">
        <v>45293</v>
      </c>
    </row>
    <row r="22" spans="1:7" ht="15.75" customHeight="1">
      <c r="A22" s="2">
        <v>1021</v>
      </c>
      <c r="B22" s="3" t="s">
        <v>49</v>
      </c>
      <c r="C22" s="3" t="s">
        <v>8</v>
      </c>
      <c r="D22" s="3" t="s">
        <v>9</v>
      </c>
      <c r="E22" s="2">
        <v>9</v>
      </c>
      <c r="F22" s="2">
        <v>50</v>
      </c>
      <c r="G22" s="4">
        <v>45324</v>
      </c>
    </row>
    <row r="23" spans="1:7" ht="15.75" customHeight="1">
      <c r="A23" s="2">
        <v>1022</v>
      </c>
      <c r="B23" s="3" t="s">
        <v>50</v>
      </c>
      <c r="C23" s="3" t="s">
        <v>11</v>
      </c>
      <c r="D23" s="3" t="s">
        <v>19</v>
      </c>
      <c r="E23" s="2">
        <v>35</v>
      </c>
      <c r="F23" s="2">
        <v>5</v>
      </c>
      <c r="G23" s="4">
        <v>45353</v>
      </c>
    </row>
    <row r="24" spans="1:7" ht="15.75" customHeight="1">
      <c r="A24" s="2">
        <v>1023</v>
      </c>
      <c r="B24" s="3" t="s">
        <v>51</v>
      </c>
      <c r="C24" s="3" t="s">
        <v>14</v>
      </c>
      <c r="D24" s="3" t="s">
        <v>22</v>
      </c>
      <c r="E24" s="2">
        <v>30</v>
      </c>
      <c r="F24" s="2">
        <v>8</v>
      </c>
      <c r="G24" s="4">
        <v>45384</v>
      </c>
    </row>
    <row r="25" spans="1:7" ht="15.75" customHeight="1">
      <c r="A25" s="2">
        <v>1024</v>
      </c>
      <c r="B25" s="3" t="s">
        <v>52</v>
      </c>
      <c r="C25" s="3" t="s">
        <v>17</v>
      </c>
      <c r="D25" s="3" t="s">
        <v>9</v>
      </c>
      <c r="E25" s="2">
        <v>11</v>
      </c>
      <c r="F25" s="2">
        <v>50</v>
      </c>
      <c r="G25" s="4">
        <v>45445</v>
      </c>
    </row>
    <row r="26" spans="1:7" ht="15.75" customHeight="1">
      <c r="A26" s="2">
        <v>1025</v>
      </c>
      <c r="B26" s="3" t="s">
        <v>53</v>
      </c>
      <c r="C26" s="3" t="s">
        <v>8</v>
      </c>
      <c r="D26" s="3" t="s">
        <v>12</v>
      </c>
      <c r="E26" s="2">
        <v>14</v>
      </c>
      <c r="F26" s="2">
        <v>10</v>
      </c>
      <c r="G26" s="4">
        <v>45475</v>
      </c>
    </row>
    <row r="27" spans="1:7" ht="14.4">
      <c r="A27" s="2">
        <v>1026</v>
      </c>
      <c r="B27" s="3" t="s">
        <v>54</v>
      </c>
      <c r="C27" s="3" t="s">
        <v>11</v>
      </c>
      <c r="D27" s="3" t="s">
        <v>15</v>
      </c>
      <c r="E27" s="2">
        <v>16</v>
      </c>
      <c r="F27" s="2">
        <v>25</v>
      </c>
      <c r="G27" s="4">
        <v>45506</v>
      </c>
    </row>
    <row r="28" spans="1:7" ht="14.4">
      <c r="A28" s="2">
        <v>1027</v>
      </c>
      <c r="B28" s="3" t="s">
        <v>55</v>
      </c>
      <c r="C28" s="3" t="s">
        <v>14</v>
      </c>
      <c r="D28" s="3" t="s">
        <v>19</v>
      </c>
      <c r="E28" s="2">
        <v>22</v>
      </c>
      <c r="F28" s="2">
        <v>5</v>
      </c>
      <c r="G28" s="4">
        <v>45537</v>
      </c>
    </row>
    <row r="29" spans="1:7" ht="14.4">
      <c r="A29" s="2">
        <v>1028</v>
      </c>
      <c r="B29" s="3" t="s">
        <v>56</v>
      </c>
      <c r="C29" s="3" t="s">
        <v>17</v>
      </c>
      <c r="D29" s="3" t="s">
        <v>22</v>
      </c>
      <c r="E29" s="2">
        <v>27</v>
      </c>
      <c r="F29" s="2">
        <v>8</v>
      </c>
      <c r="G29" s="4">
        <v>45567</v>
      </c>
    </row>
    <row r="30" spans="1:7" ht="14.4">
      <c r="A30" s="2">
        <v>1029</v>
      </c>
      <c r="B30" s="3" t="s">
        <v>57</v>
      </c>
      <c r="C30" s="3" t="s">
        <v>8</v>
      </c>
      <c r="D30" s="3" t="s">
        <v>9</v>
      </c>
      <c r="E30" s="2">
        <v>13</v>
      </c>
      <c r="F30" s="2">
        <v>50</v>
      </c>
      <c r="G30" s="4">
        <v>45628</v>
      </c>
    </row>
    <row r="31" spans="1:7" ht="14.4">
      <c r="A31" s="2">
        <v>1030</v>
      </c>
      <c r="B31" s="3" t="s">
        <v>58</v>
      </c>
      <c r="C31" s="3" t="s">
        <v>11</v>
      </c>
      <c r="D31" s="3" t="s">
        <v>12</v>
      </c>
      <c r="E31" s="2">
        <v>32</v>
      </c>
      <c r="F31" s="2">
        <v>10</v>
      </c>
      <c r="G31" s="2" t="s">
        <v>59</v>
      </c>
    </row>
    <row r="32" spans="1:7" ht="14.4">
      <c r="A32" s="2">
        <v>1031</v>
      </c>
      <c r="B32" s="3" t="s">
        <v>60</v>
      </c>
      <c r="C32" s="3" t="s">
        <v>14</v>
      </c>
      <c r="D32" s="3" t="s">
        <v>15</v>
      </c>
      <c r="E32" s="2">
        <v>10</v>
      </c>
      <c r="F32" s="2">
        <v>25</v>
      </c>
      <c r="G32" s="2" t="s">
        <v>61</v>
      </c>
    </row>
    <row r="33" spans="1:7" ht="14.4">
      <c r="A33" s="2">
        <v>1032</v>
      </c>
      <c r="B33" s="3" t="s">
        <v>62</v>
      </c>
      <c r="C33" s="3" t="s">
        <v>17</v>
      </c>
      <c r="D33" s="3" t="s">
        <v>19</v>
      </c>
      <c r="E33" s="2">
        <v>18</v>
      </c>
      <c r="F33" s="2">
        <v>5</v>
      </c>
      <c r="G33" s="2" t="s">
        <v>63</v>
      </c>
    </row>
    <row r="34" spans="1:7" ht="14.4">
      <c r="A34" s="2">
        <v>1033</v>
      </c>
      <c r="B34" s="3" t="s">
        <v>64</v>
      </c>
      <c r="C34" s="3" t="s">
        <v>8</v>
      </c>
      <c r="D34" s="3" t="s">
        <v>22</v>
      </c>
      <c r="E34" s="2">
        <v>22</v>
      </c>
      <c r="F34" s="2">
        <v>8</v>
      </c>
      <c r="G34" s="2" t="s">
        <v>65</v>
      </c>
    </row>
    <row r="35" spans="1:7" ht="14.4">
      <c r="A35" s="2">
        <v>1034</v>
      </c>
      <c r="B35" s="3" t="s">
        <v>66</v>
      </c>
      <c r="C35" s="3" t="s">
        <v>11</v>
      </c>
      <c r="D35" s="3" t="s">
        <v>9</v>
      </c>
      <c r="E35" s="2">
        <v>17</v>
      </c>
      <c r="F35" s="2">
        <v>50</v>
      </c>
      <c r="G35" s="2" t="s">
        <v>67</v>
      </c>
    </row>
    <row r="36" spans="1:7" ht="14.4">
      <c r="A36" s="2">
        <v>1035</v>
      </c>
      <c r="B36" s="3" t="s">
        <v>68</v>
      </c>
      <c r="C36" s="3" t="s">
        <v>14</v>
      </c>
      <c r="D36" s="3" t="s">
        <v>12</v>
      </c>
      <c r="E36" s="2">
        <v>19</v>
      </c>
      <c r="F36" s="2">
        <v>10</v>
      </c>
      <c r="G36" s="2" t="s">
        <v>69</v>
      </c>
    </row>
    <row r="37" spans="1:7" ht="14.4">
      <c r="A37" s="2">
        <v>1036</v>
      </c>
      <c r="B37" s="3" t="s">
        <v>70</v>
      </c>
      <c r="C37" s="3" t="s">
        <v>17</v>
      </c>
      <c r="D37" s="3" t="s">
        <v>15</v>
      </c>
      <c r="E37" s="2">
        <v>15</v>
      </c>
      <c r="F37" s="2">
        <v>25</v>
      </c>
      <c r="G37" s="2" t="s">
        <v>71</v>
      </c>
    </row>
    <row r="38" spans="1:7" ht="14.4">
      <c r="A38" s="2">
        <v>1037</v>
      </c>
      <c r="B38" s="3" t="s">
        <v>72</v>
      </c>
      <c r="C38" s="3" t="s">
        <v>8</v>
      </c>
      <c r="D38" s="3" t="s">
        <v>19</v>
      </c>
      <c r="E38" s="2">
        <v>28</v>
      </c>
      <c r="F38" s="2">
        <v>5</v>
      </c>
      <c r="G38" s="2" t="s">
        <v>73</v>
      </c>
    </row>
    <row r="39" spans="1:7" ht="14.4">
      <c r="A39" s="2">
        <v>1038</v>
      </c>
      <c r="B39" s="3" t="s">
        <v>74</v>
      </c>
      <c r="C39" s="3" t="s">
        <v>11</v>
      </c>
      <c r="D39" s="3" t="s">
        <v>22</v>
      </c>
      <c r="E39" s="2">
        <v>24</v>
      </c>
      <c r="F39" s="2">
        <v>8</v>
      </c>
      <c r="G39" s="2" t="s">
        <v>75</v>
      </c>
    </row>
    <row r="40" spans="1:7" ht="14.4">
      <c r="A40" s="2">
        <v>1039</v>
      </c>
      <c r="B40" s="3" t="s">
        <v>76</v>
      </c>
      <c r="C40" s="3" t="s">
        <v>14</v>
      </c>
      <c r="D40" s="3" t="s">
        <v>9</v>
      </c>
      <c r="E40" s="2">
        <v>16</v>
      </c>
      <c r="F40" s="2">
        <v>50</v>
      </c>
      <c r="G40" s="2" t="s">
        <v>77</v>
      </c>
    </row>
    <row r="41" spans="1:7" ht="14.4">
      <c r="A41" s="2">
        <v>1040</v>
      </c>
      <c r="B41" s="3" t="s">
        <v>78</v>
      </c>
      <c r="C41" s="3" t="s">
        <v>17</v>
      </c>
      <c r="D41" s="3" t="s">
        <v>12</v>
      </c>
      <c r="E41" s="2">
        <v>27</v>
      </c>
      <c r="F41" s="2">
        <v>10</v>
      </c>
      <c r="G41" s="2" t="s">
        <v>79</v>
      </c>
    </row>
    <row r="42" spans="1:7" ht="14.4">
      <c r="A42" s="2">
        <v>1041</v>
      </c>
      <c r="B42" s="3" t="s">
        <v>80</v>
      </c>
      <c r="C42" s="3" t="s">
        <v>8</v>
      </c>
      <c r="D42" s="3" t="s">
        <v>15</v>
      </c>
      <c r="E42" s="2">
        <v>21</v>
      </c>
      <c r="F42" s="2">
        <v>25</v>
      </c>
      <c r="G42" s="2" t="s">
        <v>81</v>
      </c>
    </row>
    <row r="43" spans="1:7" ht="14.4">
      <c r="A43" s="2">
        <v>1042</v>
      </c>
      <c r="B43" s="3" t="s">
        <v>82</v>
      </c>
      <c r="C43" s="3" t="s">
        <v>11</v>
      </c>
      <c r="D43" s="3" t="s">
        <v>19</v>
      </c>
      <c r="E43" s="2">
        <v>30</v>
      </c>
      <c r="F43" s="2">
        <v>5</v>
      </c>
      <c r="G43" s="2" t="s">
        <v>83</v>
      </c>
    </row>
    <row r="44" spans="1:7" ht="14.4">
      <c r="A44" s="2">
        <v>1043</v>
      </c>
      <c r="B44" s="3" t="s">
        <v>84</v>
      </c>
      <c r="C44" s="3" t="s">
        <v>14</v>
      </c>
      <c r="D44" s="3" t="s">
        <v>22</v>
      </c>
      <c r="E44" s="2">
        <v>26</v>
      </c>
      <c r="F44" s="2">
        <v>8</v>
      </c>
      <c r="G44" s="4">
        <v>45294</v>
      </c>
    </row>
    <row r="45" spans="1:7" ht="14.4">
      <c r="A45" s="2">
        <v>1044</v>
      </c>
      <c r="B45" s="3" t="s">
        <v>85</v>
      </c>
      <c r="C45" s="3" t="s">
        <v>17</v>
      </c>
      <c r="D45" s="3" t="s">
        <v>9</v>
      </c>
      <c r="E45" s="2">
        <v>14</v>
      </c>
      <c r="F45" s="2">
        <v>50</v>
      </c>
      <c r="G45" s="4">
        <v>45325</v>
      </c>
    </row>
    <row r="46" spans="1:7" ht="14.4">
      <c r="A46" s="2">
        <v>1045</v>
      </c>
      <c r="B46" s="3" t="s">
        <v>86</v>
      </c>
      <c r="C46" s="3" t="s">
        <v>8</v>
      </c>
      <c r="D46" s="3" t="s">
        <v>12</v>
      </c>
      <c r="E46" s="2">
        <v>20</v>
      </c>
      <c r="F46" s="2">
        <v>10</v>
      </c>
      <c r="G46" s="4">
        <v>45354</v>
      </c>
    </row>
    <row r="47" spans="1:7" ht="14.4">
      <c r="A47" s="2">
        <v>1046</v>
      </c>
      <c r="B47" s="3" t="s">
        <v>87</v>
      </c>
      <c r="C47" s="3" t="s">
        <v>11</v>
      </c>
      <c r="D47" s="3" t="s">
        <v>15</v>
      </c>
      <c r="E47" s="2">
        <v>17</v>
      </c>
      <c r="F47" s="2">
        <v>25</v>
      </c>
      <c r="G47" s="4">
        <v>45385</v>
      </c>
    </row>
    <row r="48" spans="1:7" ht="14.4">
      <c r="A48" s="2">
        <v>1047</v>
      </c>
      <c r="B48" s="3" t="s">
        <v>88</v>
      </c>
      <c r="C48" s="3" t="s">
        <v>14</v>
      </c>
      <c r="D48" s="3" t="s">
        <v>19</v>
      </c>
      <c r="E48" s="2">
        <v>19</v>
      </c>
      <c r="F48" s="2">
        <v>5</v>
      </c>
      <c r="G48" s="4">
        <v>45415</v>
      </c>
    </row>
    <row r="49" spans="1:7" ht="14.4">
      <c r="A49" s="2">
        <v>1048</v>
      </c>
      <c r="B49" s="3" t="s">
        <v>89</v>
      </c>
      <c r="C49" s="3" t="s">
        <v>17</v>
      </c>
      <c r="D49" s="3" t="s">
        <v>22</v>
      </c>
      <c r="E49" s="2">
        <v>32</v>
      </c>
      <c r="F49" s="2">
        <v>8</v>
      </c>
      <c r="G49" s="4">
        <v>45446</v>
      </c>
    </row>
    <row r="50" spans="1:7" ht="14.4">
      <c r="A50" s="2">
        <v>1049</v>
      </c>
      <c r="B50" s="3" t="s">
        <v>90</v>
      </c>
      <c r="C50" s="3" t="s">
        <v>8</v>
      </c>
      <c r="D50" s="3" t="s">
        <v>9</v>
      </c>
      <c r="E50" s="2">
        <v>12</v>
      </c>
      <c r="F50" s="2">
        <v>50</v>
      </c>
      <c r="G50" s="4">
        <v>45476</v>
      </c>
    </row>
    <row r="51" spans="1:7" ht="14.4">
      <c r="A51" s="2">
        <v>1050</v>
      </c>
      <c r="B51" s="3" t="s">
        <v>91</v>
      </c>
      <c r="C51" s="3" t="s">
        <v>11</v>
      </c>
      <c r="D51" s="3" t="s">
        <v>12</v>
      </c>
      <c r="E51" s="2">
        <v>25</v>
      </c>
      <c r="F51" s="2">
        <v>10</v>
      </c>
      <c r="G51" s="4">
        <v>45507</v>
      </c>
    </row>
    <row r="52" spans="1:7" ht="14.4">
      <c r="A52" s="3"/>
      <c r="B52" s="3"/>
      <c r="C52" s="3"/>
      <c r="D52" s="3"/>
      <c r="E52" s="3"/>
      <c r="F52" s="3"/>
      <c r="G52" s="3"/>
    </row>
    <row r="53" spans="1:7" ht="14.4">
      <c r="A53" s="3"/>
      <c r="B53" s="3"/>
      <c r="C53" s="3"/>
      <c r="D53" s="3"/>
      <c r="E53" s="3"/>
      <c r="F53" s="3"/>
      <c r="G53" s="3"/>
    </row>
  </sheetData>
  <autoFilter ref="A1:G51" xr:uid="{00000000-0009-0000-0000-000000000000}"/>
  <mergeCells count="1">
    <mergeCell ref="K5:N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AE86A-8471-4843-B9C1-B67E74D03102}">
  <dimension ref="B1:H24"/>
  <sheetViews>
    <sheetView tabSelected="1" workbookViewId="0">
      <selection activeCell="J11" sqref="J11"/>
    </sheetView>
  </sheetViews>
  <sheetFormatPr defaultRowHeight="13.2"/>
  <cols>
    <col min="1" max="1" width="8.88671875" customWidth="1"/>
    <col min="2" max="2" width="9.5546875" customWidth="1"/>
    <col min="3" max="3" width="78.88671875" customWidth="1"/>
    <col min="5" max="5" width="15.44140625" customWidth="1"/>
  </cols>
  <sheetData>
    <row r="1" spans="2:7" ht="15.6">
      <c r="B1" s="6"/>
    </row>
    <row r="2" spans="2:7" ht="15.6" customHeight="1">
      <c r="B2" s="13">
        <v>1</v>
      </c>
      <c r="C2" s="21" t="s">
        <v>92</v>
      </c>
      <c r="E2" s="9" t="s">
        <v>94</v>
      </c>
      <c r="F2" s="10"/>
      <c r="G2" s="9" t="s">
        <v>98</v>
      </c>
    </row>
    <row r="3" spans="2:7" ht="13.8" customHeight="1">
      <c r="B3" s="14"/>
      <c r="C3" s="22" t="s">
        <v>93</v>
      </c>
      <c r="E3" s="11" t="s">
        <v>95</v>
      </c>
      <c r="F3" s="10"/>
      <c r="G3" s="12">
        <v>500000</v>
      </c>
    </row>
    <row r="4" spans="2:7" ht="13.2" customHeight="1">
      <c r="B4" s="14"/>
      <c r="C4" s="15"/>
      <c r="E4" s="11" t="s">
        <v>96</v>
      </c>
      <c r="F4" s="10"/>
      <c r="G4" s="12">
        <v>10500</v>
      </c>
    </row>
    <row r="5" spans="2:7" ht="13.2" customHeight="1">
      <c r="B5" s="14"/>
      <c r="C5" s="15"/>
      <c r="E5" s="11" t="s">
        <v>97</v>
      </c>
      <c r="F5" s="10"/>
      <c r="G5" s="12">
        <v>25000</v>
      </c>
    </row>
    <row r="6" spans="2:7" ht="13.2" customHeight="1">
      <c r="B6" s="14"/>
      <c r="C6" s="15"/>
      <c r="E6" s="8"/>
    </row>
    <row r="7" spans="2:7" ht="13.2" customHeight="1">
      <c r="B7" s="14"/>
      <c r="C7" s="15"/>
    </row>
    <row r="8" spans="2:7" ht="15.6" customHeight="1">
      <c r="B8" s="16" t="s">
        <v>99</v>
      </c>
      <c r="C8" s="17" t="s">
        <v>100</v>
      </c>
    </row>
    <row r="9" spans="2:7" ht="13.2" customHeight="1">
      <c r="B9" s="14"/>
      <c r="C9" s="17" t="s">
        <v>101</v>
      </c>
    </row>
    <row r="10" spans="2:7" ht="13.2" customHeight="1">
      <c r="B10" s="14"/>
      <c r="C10" s="17" t="s">
        <v>102</v>
      </c>
    </row>
    <row r="11" spans="2:7" ht="13.2" customHeight="1">
      <c r="B11" s="14"/>
      <c r="C11" s="18" t="s">
        <v>104</v>
      </c>
    </row>
    <row r="12" spans="2:7" ht="13.2" customHeight="1">
      <c r="B12" s="14"/>
      <c r="C12" s="17" t="s">
        <v>103</v>
      </c>
    </row>
    <row r="13" spans="2:7" ht="13.2" customHeight="1">
      <c r="B13" s="14"/>
      <c r="C13" s="18" t="s">
        <v>105</v>
      </c>
    </row>
    <row r="14" spans="2:7" ht="13.2" customHeight="1">
      <c r="B14" s="14"/>
      <c r="C14" s="17" t="s">
        <v>106</v>
      </c>
    </row>
    <row r="15" spans="2:7" ht="13.2" customHeight="1">
      <c r="B15" s="19"/>
      <c r="C15" s="20" t="s">
        <v>107</v>
      </c>
    </row>
    <row r="18" spans="2:8" ht="15.6">
      <c r="B18" s="23">
        <v>2</v>
      </c>
      <c r="C18" s="21" t="s">
        <v>108</v>
      </c>
      <c r="F18" s="25" t="s">
        <v>112</v>
      </c>
      <c r="G18" s="25" t="s">
        <v>113</v>
      </c>
      <c r="H18" s="25" t="s">
        <v>114</v>
      </c>
    </row>
    <row r="19" spans="2:8">
      <c r="B19" s="19"/>
      <c r="C19" s="24" t="s">
        <v>109</v>
      </c>
      <c r="F19" s="11" t="s">
        <v>115</v>
      </c>
      <c r="G19" s="12">
        <v>90</v>
      </c>
      <c r="H19" s="12">
        <v>1000</v>
      </c>
    </row>
    <row r="20" spans="2:8">
      <c r="F20" s="11" t="s">
        <v>116</v>
      </c>
      <c r="G20" s="12">
        <v>150</v>
      </c>
      <c r="H20" s="12">
        <v>1200</v>
      </c>
    </row>
    <row r="21" spans="2:8">
      <c r="F21" s="11" t="s">
        <v>117</v>
      </c>
      <c r="G21" s="12">
        <v>250</v>
      </c>
      <c r="H21" s="12">
        <v>1500</v>
      </c>
    </row>
    <row r="22" spans="2:8" ht="15.6">
      <c r="B22" s="13">
        <v>3</v>
      </c>
      <c r="C22" s="21" t="s">
        <v>110</v>
      </c>
    </row>
    <row r="23" spans="2:8" ht="13.8">
      <c r="B23" s="26"/>
      <c r="C23" s="22" t="s">
        <v>111</v>
      </c>
    </row>
    <row r="24" spans="2:8">
      <c r="B24" s="19"/>
      <c r="C24" s="24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 7</vt:lpstr>
      <vt:lpstr>QUESTION 8</vt:lpstr>
      <vt:lpstr>QUESTION4,5&amp;6</vt:lpstr>
      <vt:lpstr>QUESTION1,2&amp;3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 khosla</dc:creator>
  <cp:lastModifiedBy>soumya khosla</cp:lastModifiedBy>
  <dcterms:created xsi:type="dcterms:W3CDTF">2025-11-06T12:11:50Z</dcterms:created>
  <dcterms:modified xsi:type="dcterms:W3CDTF">2025-11-06T12:19:46Z</dcterms:modified>
</cp:coreProperties>
</file>