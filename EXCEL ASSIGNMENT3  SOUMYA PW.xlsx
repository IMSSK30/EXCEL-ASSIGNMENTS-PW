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c422ca3d7cbcf85/"/>
    </mc:Choice>
  </mc:AlternateContent>
  <xr:revisionPtr revIDLastSave="0" documentId="8_{46791D67-450E-46D8-819A-964EDFEFB8E9}" xr6:coauthVersionLast="47" xr6:coauthVersionMax="47" xr10:uidLastSave="{00000000-0000-0000-0000-000000000000}"/>
  <bookViews>
    <workbookView xWindow="-108" yWindow="-108" windowWidth="23256" windowHeight="12456" firstSheet="1" activeTab="7" xr2:uid="{E9B22CF7-4AAD-4459-AC67-EC58C6D6FB2E}"/>
  </bookViews>
  <sheets>
    <sheet name="QUESTION 1" sheetId="1" r:id="rId1"/>
    <sheet name="QUESTION 2" sheetId="2" r:id="rId2"/>
    <sheet name="QUESTION 3" sheetId="3" r:id="rId3"/>
    <sheet name="QUESTION 4" sheetId="4" r:id="rId4"/>
    <sheet name="QUESTION 5" sheetId="5" r:id="rId5"/>
    <sheet name="QUESTION 6" sheetId="6" r:id="rId6"/>
    <sheet name="QUESTION 7" sheetId="7" r:id="rId7"/>
    <sheet name="QUESTION 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8" l="1"/>
  <c r="F6" i="7"/>
  <c r="C14" i="6"/>
  <c r="C15" i="6"/>
  <c r="C16" i="6"/>
  <c r="C13" i="5"/>
  <c r="I5" i="4"/>
  <c r="F6" i="3"/>
  <c r="F5" i="3"/>
  <c r="F7" i="3"/>
  <c r="F8" i="3"/>
  <c r="F9" i="3"/>
  <c r="H7" i="2"/>
  <c r="H10" i="2"/>
  <c r="H8" i="2"/>
  <c r="H9" i="2"/>
  <c r="F5" i="1"/>
  <c r="F6" i="1"/>
  <c r="F7" i="1"/>
  <c r="F8" i="1"/>
  <c r="F9" i="1"/>
</calcChain>
</file>

<file path=xl/sharedStrings.xml><?xml version="1.0" encoding="utf-8"?>
<sst xmlns="http://schemas.openxmlformats.org/spreadsheetml/2006/main" count="114" uniqueCount="87">
  <si>
    <t>ans-</t>
  </si>
  <si>
    <t>STUDENT NAME</t>
  </si>
  <si>
    <t>MARKS</t>
  </si>
  <si>
    <t>Riya</t>
  </si>
  <si>
    <t>Siya</t>
  </si>
  <si>
    <t>Raju</t>
  </si>
  <si>
    <t>Rahul</t>
  </si>
  <si>
    <t>Ram</t>
  </si>
  <si>
    <t>RESULTS</t>
  </si>
  <si>
    <t xml:space="preserve"> =IF(E5&gt;=40,"Pass","Fail")</t>
  </si>
  <si>
    <t xml:space="preserve"> =IF(E6&gt;=40,"Pass","Fail")</t>
  </si>
  <si>
    <t xml:space="preserve"> =IF(E7&gt;=40,"Pass","Fail")</t>
  </si>
  <si>
    <t xml:space="preserve"> =IF(E8&gt;=40,"Pass","Fail")</t>
  </si>
  <si>
    <t xml:space="preserve"> =IF(E9&gt;=40,"Pass","Fail")</t>
  </si>
  <si>
    <t>FORMULA</t>
  </si>
  <si>
    <t>2. A company gives a bonus  if sales are above 40,000 and attendance is greater than or equal to 90%. Write a 
formula to calculate whether the employee will get a bonus or not .</t>
  </si>
  <si>
    <r>
      <rPr>
        <b/>
        <sz val="11"/>
        <color theme="1" tint="4.9989318521683403E-2"/>
        <rFont val="Constantia"/>
        <family val="1"/>
      </rPr>
      <t xml:space="preserve">  </t>
    </r>
    <r>
      <rPr>
        <b/>
        <sz val="12"/>
        <color theme="1" tint="4.9989318521683403E-2"/>
        <rFont val="Constantia"/>
        <family val="1"/>
      </rPr>
      <t>1. Write a formula to check if the marks in cell  B2 are greater than or equal to 40. If yes, return "Pass",otherwise  "Fail" .</t>
    </r>
  </si>
  <si>
    <t>EMPLOYEE</t>
  </si>
  <si>
    <t>SALES</t>
  </si>
  <si>
    <t>ATTENDANCE</t>
  </si>
  <si>
    <t>RESULT</t>
  </si>
  <si>
    <t>Arjun</t>
  </si>
  <si>
    <t>Simran</t>
  </si>
  <si>
    <t>Rohit</t>
  </si>
  <si>
    <t>Anjali</t>
  </si>
  <si>
    <t xml:space="preserve">  =IF(AND(E7&gt;40000, F7&gt;=90), "Bonus", "No Bonus")</t>
  </si>
  <si>
    <t xml:space="preserve">  =IF(AND(E8&gt;40000, F8&gt;=90), "Bonus", "No Bonus")</t>
  </si>
  <si>
    <t xml:space="preserve">  =IF(AND(E9&gt;40000, F9&gt;=90), "Bonus", "No Bonus")</t>
  </si>
  <si>
    <t xml:space="preserve">  =IF(AND(E10&gt;40000, F10&gt;=90), "Bonus", "No Bonus")</t>
  </si>
  <si>
    <t xml:space="preserve"> 3. Write a nested IF formula : If marks in B2 are &gt;= 90 : "A", &gt;= 75 : "B", &gt;=50 : "C", otherwise "Fail" ?</t>
  </si>
  <si>
    <t>Raj</t>
  </si>
  <si>
    <t>Neha</t>
  </si>
  <si>
    <t>Vivek</t>
  </si>
  <si>
    <t>Rani</t>
  </si>
  <si>
    <t>Sneha</t>
  </si>
  <si>
    <t xml:space="preserve"> =IF(E5&gt;=90, "A", IF(E5&gt;=75, "B", IF(E5&gt;=50, "C", "Fail")))</t>
  </si>
  <si>
    <t xml:space="preserve"> =IF(E6&gt;=90, "A", IF(E6&gt;=75, "B", IF(E6&gt;=50, "C", "Fail")))</t>
  </si>
  <si>
    <t xml:space="preserve"> =IF(E7&gt;=90, "A", IF(E7&gt;=75, "B", IF(E7&gt;=50, "C", "Fail")))</t>
  </si>
  <si>
    <t xml:space="preserve"> =IF(E8&gt;=90, "A", IF(E8&gt;=75, "B", IF(E8&gt;=50, "C", "Fail")))</t>
  </si>
  <si>
    <t xml:space="preserve"> =IF(E9&gt;=90, "A", IF(E9&gt;=75, "B", IF(E9&gt;=50, "C", "Fail")))</t>
  </si>
  <si>
    <t>4. Find the Department of Employee ID = E103. Also explain which LOOKUP function is used and why?</t>
  </si>
  <si>
    <t>EMP ID</t>
  </si>
  <si>
    <t>NAME</t>
  </si>
  <si>
    <t>DEPARTMENT</t>
  </si>
  <si>
    <t>E101</t>
  </si>
  <si>
    <t>E102</t>
  </si>
  <si>
    <t>E103</t>
  </si>
  <si>
    <t>E104</t>
  </si>
  <si>
    <t>Roshni</t>
  </si>
  <si>
    <t>Sejal</t>
  </si>
  <si>
    <t>IT</t>
  </si>
  <si>
    <t>HR</t>
  </si>
  <si>
    <t>Finance</t>
  </si>
  <si>
    <t>Sales</t>
  </si>
  <si>
    <t>The Department of Employee ID E103 is Finance.</t>
  </si>
  <si>
    <t>returns the corresponding value from another column in the same row.</t>
  </si>
  <si>
    <r>
      <rPr>
        <b/>
        <sz val="11"/>
        <color theme="1"/>
        <rFont val="Calibri"/>
        <family val="2"/>
        <scheme val="minor"/>
      </rPr>
      <t>VLOOKUP</t>
    </r>
    <r>
      <rPr>
        <sz val="11"/>
        <color theme="1"/>
        <rFont val="Calibri"/>
        <family val="2"/>
        <scheme val="minor"/>
      </rPr>
      <t xml:space="preserve"> is used because it searches for a value (EmpID) in the first column of a table and </t>
    </r>
  </si>
  <si>
    <r>
      <t xml:space="preserve"> </t>
    </r>
    <r>
      <rPr>
        <b/>
        <sz val="11"/>
        <color theme="1"/>
        <rFont val="Calibri"/>
        <family val="2"/>
        <scheme val="minor"/>
      </rPr>
      <t>=VLOOKUP("E103",C5:E8, 3, FALSE)</t>
    </r>
  </si>
  <si>
    <t>5.  A company has set the following commission structure for its sales team</t>
  </si>
  <si>
    <t>If a salesperson achieves sales of ₹45,000, use the VLOOKUP function to determine the commission rate applicable.</t>
  </si>
  <si>
    <r>
      <t xml:space="preserve">For sales of ₹45,000, the applicable </t>
    </r>
    <r>
      <rPr>
        <b/>
        <sz val="11"/>
        <color theme="1"/>
        <rFont val="Calibri"/>
        <family val="2"/>
        <scheme val="minor"/>
      </rPr>
      <t>commission rate</t>
    </r>
    <r>
      <rPr>
        <sz val="11"/>
        <color theme="1"/>
        <rFont val="Calibri"/>
        <family val="2"/>
        <scheme val="minor"/>
      </rPr>
      <t xml:space="preserve"> is </t>
    </r>
    <r>
      <rPr>
        <b/>
        <sz val="11"/>
        <color theme="1"/>
        <rFont val="Calibri"/>
        <family val="2"/>
        <scheme val="minor"/>
      </rPr>
      <t>10%</t>
    </r>
    <r>
      <rPr>
        <sz val="11"/>
        <color theme="1"/>
        <rFont val="Calibri"/>
        <family val="2"/>
        <scheme val="minor"/>
      </rPr>
      <t>.</t>
    </r>
  </si>
  <si>
    <t>AMOUNT</t>
  </si>
  <si>
    <t>COMMISION</t>
  </si>
  <si>
    <t>RATE</t>
  </si>
  <si>
    <r>
      <t xml:space="preserve">   </t>
    </r>
    <r>
      <rPr>
        <b/>
        <sz val="11"/>
        <color theme="1"/>
        <rFont val="Calibri"/>
        <family val="2"/>
        <scheme val="minor"/>
      </rPr>
      <t>=VLOOKUP(45000, B5:C8, 2, TRUE)</t>
    </r>
  </si>
  <si>
    <t>6. The HR department maintains the following leave records of employees: Bonus or not</t>
  </si>
  <si>
    <t>EMPLOYEE NAME</t>
  </si>
  <si>
    <t>LEAVES TAKEN</t>
  </si>
  <si>
    <t>LEAVES ALLOWED</t>
  </si>
  <si>
    <t>Alex</t>
  </si>
  <si>
    <t>Bob</t>
  </si>
  <si>
    <t>Anna</t>
  </si>
  <si>
    <t xml:space="preserve"> Write an IF function to check whether an employee has Exceeded their allowed leave balance.
 If Leaves Taken &gt; Allowed Leaves, display "Exceeded".
 Otherwise, display "OK".</t>
  </si>
  <si>
    <t xml:space="preserve"> =IF(D5&gt;F5, "Exceeded", "OK")</t>
  </si>
  <si>
    <t xml:space="preserve"> =IF(D6&gt;F6, "Exceeded", "OK")</t>
  </si>
  <si>
    <t xml:space="preserve"> =IF(D7&gt;F7, "Exceeded", "OK")</t>
  </si>
  <si>
    <t>7. Find the salary of EmpID = E105 using INDEX-MATCH Function?</t>
  </si>
  <si>
    <t>SALARY</t>
  </si>
  <si>
    <t>E105</t>
  </si>
  <si>
    <t>E106</t>
  </si>
  <si>
    <r>
      <t xml:space="preserve">The salary of </t>
    </r>
    <r>
      <rPr>
        <b/>
        <sz val="11"/>
        <color theme="1"/>
        <rFont val="Calibri"/>
        <family val="2"/>
        <scheme val="minor"/>
      </rPr>
      <t>EmpID = E105</t>
    </r>
    <r>
      <rPr>
        <sz val="11"/>
        <color theme="1"/>
        <rFont val="Calibri"/>
        <family val="2"/>
        <scheme val="minor"/>
      </rPr>
      <t xml:space="preserve"> is </t>
    </r>
    <r>
      <rPr>
        <b/>
        <sz val="11"/>
        <color theme="1"/>
        <rFont val="Calibri"/>
        <family val="2"/>
        <scheme val="minor"/>
      </rPr>
      <t>₹72,000</t>
    </r>
    <r>
      <rPr>
        <sz val="11"/>
        <color theme="1"/>
        <rFont val="Calibri"/>
        <family val="2"/>
        <scheme val="minor"/>
      </rPr>
      <t>.</t>
    </r>
  </si>
  <si>
    <t xml:space="preserve">   =INDEX(C5:C8, MATCH("E105", B5:B8, 0))</t>
  </si>
  <si>
    <t>8. Use the XLOOKUP function to find the Department of the employee with Emp ID = E303.</t>
  </si>
  <si>
    <t>E303</t>
  </si>
  <si>
    <t>E301</t>
  </si>
  <si>
    <r>
      <t xml:space="preserve">The Department of </t>
    </r>
    <r>
      <rPr>
        <b/>
        <sz val="11"/>
        <color theme="1"/>
        <rFont val="Calibri"/>
        <family val="2"/>
        <scheme val="minor"/>
      </rPr>
      <t>EmpID = E303</t>
    </r>
    <r>
      <rPr>
        <sz val="11"/>
        <color theme="1"/>
        <rFont val="Calibri"/>
        <family val="2"/>
        <scheme val="minor"/>
      </rPr>
      <t xml:space="preserve"> is </t>
    </r>
    <r>
      <rPr>
        <b/>
        <sz val="11"/>
        <color theme="1"/>
        <rFont val="Calibri"/>
        <family val="2"/>
        <scheme val="minor"/>
      </rPr>
      <t>IT</t>
    </r>
    <r>
      <rPr>
        <sz val="11"/>
        <color theme="1"/>
        <rFont val="Calibri"/>
        <family val="2"/>
        <scheme val="minor"/>
      </rPr>
      <t>.</t>
    </r>
  </si>
  <si>
    <t xml:space="preserve"> =XLOOKUP("E303", B5:B8, C5:C8)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</si>
</sst>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6" tint="0.79998168889431442"/>
      <name val="Constantia"/>
      <family val="1"/>
    </font>
    <font>
      <sz val="11"/>
      <color theme="6" tint="-0.499984740745262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 tint="4.9989318521683403E-2"/>
      <name val="Constantia"/>
      <family val="1"/>
    </font>
    <font>
      <b/>
      <sz val="12"/>
      <color theme="1" tint="4.9989318521683403E-2"/>
      <name val="Constantia"/>
      <family val="1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7" fillId="2" borderId="30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17" xfId="0" applyFont="1" applyFill="1" applyBorder="1" applyAlignment="1">
      <alignment horizontal="left" vertical="top"/>
    </xf>
    <xf numFmtId="0" fontId="5" fillId="0" borderId="34" xfId="0" applyFont="1" applyBorder="1" applyAlignment="1">
      <alignment horizontal="left" vertical="center"/>
    </xf>
    <xf numFmtId="0" fontId="5" fillId="0" borderId="32" xfId="0" applyFont="1" applyBorder="1" applyAlignment="1">
      <alignment horizontal="left" vertical="center"/>
    </xf>
    <xf numFmtId="0" fontId="5" fillId="0" borderId="29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37" xfId="0" applyFont="1" applyBorder="1" applyAlignment="1">
      <alignment horizontal="left" vertical="center"/>
    </xf>
    <xf numFmtId="0" fontId="5" fillId="0" borderId="38" xfId="0" applyFont="1" applyBorder="1" applyAlignment="1">
      <alignment horizontal="left" vertical="center"/>
    </xf>
    <xf numFmtId="0" fontId="5" fillId="0" borderId="39" xfId="0" applyFont="1" applyBorder="1" applyAlignment="1">
      <alignment horizontal="left" vertical="center"/>
    </xf>
    <xf numFmtId="0" fontId="5" fillId="0" borderId="40" xfId="0" applyFont="1" applyBorder="1" applyAlignment="1">
      <alignment horizontal="left" vertical="center"/>
    </xf>
    <xf numFmtId="0" fontId="6" fillId="0" borderId="31" xfId="0" applyFont="1" applyBorder="1" applyAlignment="1">
      <alignment horizontal="left" vertical="center" wrapText="1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0" fillId="3" borderId="13" xfId="0" applyFont="1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41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0" fillId="3" borderId="28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42" xfId="0" applyFill="1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45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43" xfId="0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10" xfId="0" applyFont="1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0" fillId="3" borderId="30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4" fillId="3" borderId="17" xfId="0" applyFont="1" applyFill="1" applyBorder="1" applyAlignment="1">
      <alignment horizontal="center"/>
    </xf>
    <xf numFmtId="0" fontId="0" fillId="3" borderId="30" xfId="0" applyFont="1" applyFill="1" applyBorder="1" applyAlignment="1">
      <alignment horizontal="center"/>
    </xf>
    <xf numFmtId="0" fontId="0" fillId="3" borderId="15" xfId="0" applyFont="1" applyFill="1" applyBorder="1" applyAlignment="1">
      <alignment horizontal="center"/>
    </xf>
    <xf numFmtId="0" fontId="2" fillId="3" borderId="44" xfId="0" applyFont="1" applyFill="1" applyBorder="1" applyAlignment="1">
      <alignment horizontal="center"/>
    </xf>
    <xf numFmtId="0" fontId="2" fillId="3" borderId="33" xfId="0" applyFont="1" applyFill="1" applyBorder="1" applyAlignment="1">
      <alignment horizontal="center"/>
    </xf>
    <xf numFmtId="0" fontId="2" fillId="3" borderId="45" xfId="0" applyFont="1" applyFill="1" applyBorder="1" applyAlignment="1">
      <alignment horizontal="center"/>
    </xf>
    <xf numFmtId="0" fontId="2" fillId="3" borderId="42" xfId="0" applyFont="1" applyFill="1" applyBorder="1" applyAlignment="1">
      <alignment horizontal="center"/>
    </xf>
    <xf numFmtId="0" fontId="2" fillId="3" borderId="46" xfId="0" applyFont="1" applyFill="1" applyBorder="1" applyAlignment="1">
      <alignment horizontal="center"/>
    </xf>
    <xf numFmtId="0" fontId="2" fillId="3" borderId="43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35" xfId="0" applyFont="1" applyFill="1" applyBorder="1" applyAlignment="1">
      <alignment horizontal="center"/>
    </xf>
    <xf numFmtId="0" fontId="2" fillId="3" borderId="36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22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0" fillId="3" borderId="30" xfId="0" applyFill="1" applyBorder="1"/>
    <xf numFmtId="0" fontId="0" fillId="3" borderId="2" xfId="0" applyFill="1" applyBorder="1"/>
    <xf numFmtId="0" fontId="2" fillId="3" borderId="28" xfId="0" applyFont="1" applyFill="1" applyBorder="1" applyAlignment="1">
      <alignment horizontal="center"/>
    </xf>
    <xf numFmtId="0" fontId="2" fillId="3" borderId="26" xfId="0" applyFont="1" applyFill="1" applyBorder="1" applyAlignment="1">
      <alignment horizontal="center"/>
    </xf>
    <xf numFmtId="0" fontId="2" fillId="3" borderId="27" xfId="0" applyFont="1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2" fillId="0" borderId="0" xfId="0" applyFont="1" applyAlignment="1">
      <alignment horizontal="center"/>
    </xf>
    <xf numFmtId="9" fontId="0" fillId="0" borderId="0" xfId="0" applyNumberFormat="1"/>
    <xf numFmtId="9" fontId="0" fillId="0" borderId="0" xfId="1" applyFont="1"/>
    <xf numFmtId="0" fontId="0" fillId="3" borderId="5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3" borderId="6" xfId="1" applyFont="1" applyFill="1" applyBorder="1" applyAlignment="1">
      <alignment horizontal="center"/>
    </xf>
    <xf numFmtId="9" fontId="0" fillId="3" borderId="9" xfId="1" applyFont="1" applyFill="1" applyBorder="1" applyAlignment="1">
      <alignment horizontal="center"/>
    </xf>
    <xf numFmtId="9" fontId="2" fillId="0" borderId="0" xfId="1" applyFont="1"/>
    <xf numFmtId="0" fontId="9" fillId="3" borderId="2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2" fillId="0" borderId="31" xfId="0" applyFont="1" applyBorder="1" applyAlignment="1">
      <alignment horizontal="left" wrapText="1"/>
    </xf>
    <xf numFmtId="0" fontId="2" fillId="0" borderId="34" xfId="0" applyFont="1" applyBorder="1" applyAlignment="1">
      <alignment horizontal="left"/>
    </xf>
    <xf numFmtId="0" fontId="2" fillId="0" borderId="32" xfId="0" applyFont="1" applyBorder="1" applyAlignment="1">
      <alignment horizontal="left"/>
    </xf>
    <xf numFmtId="0" fontId="2" fillId="0" borderId="29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37" xfId="0" applyFont="1" applyBorder="1" applyAlignment="1">
      <alignment horizontal="left"/>
    </xf>
    <xf numFmtId="0" fontId="2" fillId="0" borderId="38" xfId="0" applyFont="1" applyBorder="1" applyAlignment="1">
      <alignment horizontal="left"/>
    </xf>
    <xf numFmtId="0" fontId="2" fillId="0" borderId="39" xfId="0" applyFont="1" applyBorder="1" applyAlignment="1">
      <alignment horizontal="left"/>
    </xf>
    <xf numFmtId="0" fontId="2" fillId="0" borderId="40" xfId="0" applyFont="1" applyBorder="1" applyAlignment="1">
      <alignment horizontal="left"/>
    </xf>
    <xf numFmtId="0" fontId="2" fillId="0" borderId="29" xfId="0" applyFont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49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20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EE82D-5E5D-477C-AF49-695F86D131EA}">
  <dimension ref="B1:P9"/>
  <sheetViews>
    <sheetView workbookViewId="0">
      <selection activeCell="L10" sqref="L10"/>
    </sheetView>
  </sheetViews>
  <sheetFormatPr defaultRowHeight="14.4" x14ac:dyDescent="0.3"/>
  <sheetData>
    <row r="1" spans="2:16" ht="15" thickBot="1" x14ac:dyDescent="0.35"/>
    <row r="2" spans="2:16" ht="16.2" thickBot="1" x14ac:dyDescent="0.35">
      <c r="B2" s="3" t="s">
        <v>16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spans="2:16" ht="15" thickBot="1" x14ac:dyDescent="0.35"/>
    <row r="4" spans="2:16" ht="15" thickBot="1" x14ac:dyDescent="0.35">
      <c r="B4" s="16" t="s">
        <v>0</v>
      </c>
      <c r="C4" s="18" t="s">
        <v>1</v>
      </c>
      <c r="D4" s="48"/>
      <c r="E4" s="47" t="s">
        <v>2</v>
      </c>
      <c r="F4" s="44" t="s">
        <v>8</v>
      </c>
      <c r="G4" s="45"/>
      <c r="H4" s="44" t="s">
        <v>14</v>
      </c>
      <c r="I4" s="45"/>
      <c r="J4" s="46"/>
    </row>
    <row r="5" spans="2:16" x14ac:dyDescent="0.3">
      <c r="C5" s="40" t="s">
        <v>3</v>
      </c>
      <c r="D5" s="28"/>
      <c r="E5" s="41">
        <v>45</v>
      </c>
      <c r="F5" s="64" t="str">
        <f>IF(E5&gt;=40,"Pass","Fail")</f>
        <v>Pass</v>
      </c>
      <c r="G5" s="65"/>
      <c r="H5" s="55" t="s">
        <v>9</v>
      </c>
      <c r="I5" s="56"/>
      <c r="J5" s="57"/>
    </row>
    <row r="6" spans="2:16" x14ac:dyDescent="0.3">
      <c r="C6" s="30" t="s">
        <v>4</v>
      </c>
      <c r="D6" s="33"/>
      <c r="E6" s="42">
        <v>72</v>
      </c>
      <c r="F6" s="55" t="str">
        <f t="shared" ref="F6:F9" si="0">IF(E6&gt;=40,"Pass","Fail")</f>
        <v>Pass</v>
      </c>
      <c r="G6" s="57"/>
      <c r="H6" s="58" t="s">
        <v>10</v>
      </c>
      <c r="I6" s="59"/>
      <c r="J6" s="60"/>
    </row>
    <row r="7" spans="2:16" x14ac:dyDescent="0.3">
      <c r="C7" s="30" t="s">
        <v>5</v>
      </c>
      <c r="D7" s="33"/>
      <c r="E7" s="42">
        <v>55</v>
      </c>
      <c r="F7" s="55" t="str">
        <f t="shared" si="0"/>
        <v>Pass</v>
      </c>
      <c r="G7" s="57"/>
      <c r="H7" s="58" t="s">
        <v>11</v>
      </c>
      <c r="I7" s="59"/>
      <c r="J7" s="60"/>
    </row>
    <row r="8" spans="2:16" x14ac:dyDescent="0.3">
      <c r="C8" s="30" t="s">
        <v>6</v>
      </c>
      <c r="D8" s="33"/>
      <c r="E8" s="42">
        <v>80</v>
      </c>
      <c r="F8" s="55" t="str">
        <f t="shared" si="0"/>
        <v>Pass</v>
      </c>
      <c r="G8" s="57"/>
      <c r="H8" s="58" t="s">
        <v>12</v>
      </c>
      <c r="I8" s="59"/>
      <c r="J8" s="60"/>
    </row>
    <row r="9" spans="2:16" ht="15" thickBot="1" x14ac:dyDescent="0.35">
      <c r="C9" s="35" t="s">
        <v>7</v>
      </c>
      <c r="D9" s="38"/>
      <c r="E9" s="43">
        <v>30</v>
      </c>
      <c r="F9" s="66" t="str">
        <f t="shared" si="0"/>
        <v>Fail</v>
      </c>
      <c r="G9" s="67"/>
      <c r="H9" s="61" t="s">
        <v>13</v>
      </c>
      <c r="I9" s="62"/>
      <c r="J9" s="63"/>
    </row>
  </sheetData>
  <mergeCells count="19">
    <mergeCell ref="H6:J6"/>
    <mergeCell ref="H7:J7"/>
    <mergeCell ref="H8:J8"/>
    <mergeCell ref="H9:J9"/>
    <mergeCell ref="H4:J4"/>
    <mergeCell ref="C6:D6"/>
    <mergeCell ref="C7:D7"/>
    <mergeCell ref="C8:D8"/>
    <mergeCell ref="C9:D9"/>
    <mergeCell ref="F4:G4"/>
    <mergeCell ref="F5:G5"/>
    <mergeCell ref="F6:G6"/>
    <mergeCell ref="F7:G7"/>
    <mergeCell ref="F8:G8"/>
    <mergeCell ref="F9:G9"/>
    <mergeCell ref="C4:D4"/>
    <mergeCell ref="B2:P2"/>
    <mergeCell ref="C5:D5"/>
    <mergeCell ref="H5:J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6551E-DCCB-498C-B4A0-B67E7A089FFD}">
  <dimension ref="B1:O10"/>
  <sheetViews>
    <sheetView workbookViewId="0">
      <selection activeCell="S7" sqref="S7"/>
    </sheetView>
  </sheetViews>
  <sheetFormatPr defaultRowHeight="14.4" x14ac:dyDescent="0.3"/>
  <sheetData>
    <row r="1" spans="2:15" ht="15" thickBot="1" x14ac:dyDescent="0.35"/>
    <row r="2" spans="2:15" x14ac:dyDescent="0.3">
      <c r="B2" s="14" t="s">
        <v>15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</row>
    <row r="3" spans="2:15" x14ac:dyDescent="0.3"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10"/>
    </row>
    <row r="4" spans="2:15" ht="15" thickBot="1" x14ac:dyDescent="0.35"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3"/>
    </row>
    <row r="5" spans="2:15" ht="15" thickBot="1" x14ac:dyDescent="0.35"/>
    <row r="6" spans="2:15" ht="15" thickBot="1" x14ac:dyDescent="0.35">
      <c r="B6" s="16" t="s">
        <v>0</v>
      </c>
      <c r="C6" s="18" t="s">
        <v>17</v>
      </c>
      <c r="D6" s="19"/>
      <c r="E6" s="20" t="s">
        <v>18</v>
      </c>
      <c r="F6" s="21" t="s">
        <v>19</v>
      </c>
      <c r="G6" s="22"/>
      <c r="H6" s="23" t="s">
        <v>20</v>
      </c>
      <c r="I6" s="19"/>
      <c r="J6" s="21" t="s">
        <v>14</v>
      </c>
      <c r="K6" s="24"/>
      <c r="L6" s="24"/>
      <c r="M6" s="24"/>
      <c r="N6" s="24"/>
      <c r="O6" s="22"/>
    </row>
    <row r="7" spans="2:15" x14ac:dyDescent="0.3">
      <c r="C7" s="25" t="s">
        <v>21</v>
      </c>
      <c r="D7" s="26"/>
      <c r="E7" s="27">
        <v>55000</v>
      </c>
      <c r="F7" s="25">
        <v>95</v>
      </c>
      <c r="G7" s="28"/>
      <c r="H7" s="49" t="str">
        <f>IF(AND(E7&gt;40000, F7&gt;=90), "Bonus", "No Bonus")</f>
        <v>Bonus</v>
      </c>
      <c r="I7" s="50"/>
      <c r="J7" s="55" t="s">
        <v>25</v>
      </c>
      <c r="K7" s="56"/>
      <c r="L7" s="56"/>
      <c r="M7" s="56"/>
      <c r="N7" s="56"/>
      <c r="O7" s="57"/>
    </row>
    <row r="8" spans="2:15" x14ac:dyDescent="0.3">
      <c r="C8" s="30" t="s">
        <v>22</v>
      </c>
      <c r="D8" s="31"/>
      <c r="E8" s="32">
        <v>65000</v>
      </c>
      <c r="F8" s="30">
        <v>85</v>
      </c>
      <c r="G8" s="33"/>
      <c r="H8" s="51" t="str">
        <f t="shared" ref="H8:H9" si="0">IF(AND(E8&gt;40000, F8&gt;=90), "Bonus", "No Bonus")</f>
        <v>No Bonus</v>
      </c>
      <c r="I8" s="52"/>
      <c r="J8" s="58" t="s">
        <v>26</v>
      </c>
      <c r="K8" s="59"/>
      <c r="L8" s="59"/>
      <c r="M8" s="59"/>
      <c r="N8" s="59"/>
      <c r="O8" s="60"/>
    </row>
    <row r="9" spans="2:15" x14ac:dyDescent="0.3">
      <c r="C9" s="30" t="s">
        <v>23</v>
      </c>
      <c r="D9" s="31"/>
      <c r="E9" s="32">
        <v>30000</v>
      </c>
      <c r="F9" s="30">
        <v>90</v>
      </c>
      <c r="G9" s="33"/>
      <c r="H9" s="51" t="str">
        <f t="shared" si="0"/>
        <v>No Bonus</v>
      </c>
      <c r="I9" s="52"/>
      <c r="J9" s="58" t="s">
        <v>27</v>
      </c>
      <c r="K9" s="59"/>
      <c r="L9" s="59"/>
      <c r="M9" s="59"/>
      <c r="N9" s="59"/>
      <c r="O9" s="60"/>
    </row>
    <row r="10" spans="2:15" ht="15" thickBot="1" x14ac:dyDescent="0.35">
      <c r="C10" s="35" t="s">
        <v>24</v>
      </c>
      <c r="D10" s="36"/>
      <c r="E10" s="37">
        <v>25000</v>
      </c>
      <c r="F10" s="35">
        <v>65</v>
      </c>
      <c r="G10" s="38"/>
      <c r="H10" s="53" t="str">
        <f>IF(AND(E10&gt;40000, F10&gt;=90), "Bonus", "No Bonus")</f>
        <v>No Bonus</v>
      </c>
      <c r="I10" s="54"/>
      <c r="J10" s="61" t="s">
        <v>28</v>
      </c>
      <c r="K10" s="62"/>
      <c r="L10" s="62"/>
      <c r="M10" s="62"/>
      <c r="N10" s="62"/>
      <c r="O10" s="63"/>
    </row>
  </sheetData>
  <mergeCells count="21">
    <mergeCell ref="J9:O9"/>
    <mergeCell ref="J10:O10"/>
    <mergeCell ref="H9:I9"/>
    <mergeCell ref="H10:I10"/>
    <mergeCell ref="J6:O6"/>
    <mergeCell ref="J7:O7"/>
    <mergeCell ref="J8:O8"/>
    <mergeCell ref="C9:D9"/>
    <mergeCell ref="C10:D10"/>
    <mergeCell ref="F7:G7"/>
    <mergeCell ref="F8:G8"/>
    <mergeCell ref="F9:G9"/>
    <mergeCell ref="F10:G10"/>
    <mergeCell ref="B2:N4"/>
    <mergeCell ref="C6:D6"/>
    <mergeCell ref="F6:G6"/>
    <mergeCell ref="H6:I6"/>
    <mergeCell ref="C7:D7"/>
    <mergeCell ref="C8:D8"/>
    <mergeCell ref="H7:I7"/>
    <mergeCell ref="H8:I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FD841-A745-473E-B3DD-A2CABD655735}">
  <dimension ref="B1:L9"/>
  <sheetViews>
    <sheetView workbookViewId="0">
      <selection activeCell="F15" sqref="F15"/>
    </sheetView>
  </sheetViews>
  <sheetFormatPr defaultRowHeight="14.4" x14ac:dyDescent="0.3"/>
  <sheetData>
    <row r="1" spans="2:12" ht="15" thickBot="1" x14ac:dyDescent="0.35"/>
    <row r="2" spans="2:12" ht="15" thickBot="1" x14ac:dyDescent="0.35">
      <c r="B2" s="69" t="s">
        <v>29</v>
      </c>
      <c r="C2" s="70"/>
      <c r="D2" s="70"/>
      <c r="E2" s="70"/>
      <c r="F2" s="70"/>
      <c r="G2" s="70"/>
      <c r="H2" s="70"/>
      <c r="I2" s="70"/>
      <c r="J2" s="70"/>
      <c r="K2" s="71"/>
    </row>
    <row r="3" spans="2:12" ht="15" thickBot="1" x14ac:dyDescent="0.35"/>
    <row r="4" spans="2:12" ht="15" thickBot="1" x14ac:dyDescent="0.35">
      <c r="B4" s="16" t="s">
        <v>0</v>
      </c>
      <c r="C4" s="21" t="s">
        <v>1</v>
      </c>
      <c r="D4" s="22"/>
      <c r="E4" s="72" t="s">
        <v>2</v>
      </c>
      <c r="F4" s="73" t="s">
        <v>20</v>
      </c>
      <c r="G4" s="21" t="s">
        <v>14</v>
      </c>
      <c r="H4" s="24"/>
      <c r="I4" s="24"/>
      <c r="J4" s="24"/>
      <c r="K4" s="24"/>
      <c r="L4" s="22"/>
    </row>
    <row r="5" spans="2:12" x14ac:dyDescent="0.3">
      <c r="C5" s="25" t="s">
        <v>30</v>
      </c>
      <c r="D5" s="28"/>
      <c r="E5" s="41">
        <v>85</v>
      </c>
      <c r="F5" s="74" t="str">
        <f>IF(E5&gt;=90, "A", IF(E5&gt;=75, "B", IF(E5&gt;=50, "C", "Fail")))</f>
        <v>B</v>
      </c>
      <c r="G5" s="49" t="s">
        <v>35</v>
      </c>
      <c r="H5" s="56"/>
      <c r="I5" s="56"/>
      <c r="J5" s="56"/>
      <c r="K5" s="56"/>
      <c r="L5" s="57"/>
    </row>
    <row r="6" spans="2:12" x14ac:dyDescent="0.3">
      <c r="C6" s="30" t="s">
        <v>31</v>
      </c>
      <c r="D6" s="33"/>
      <c r="E6" s="42">
        <v>96</v>
      </c>
      <c r="F6" s="75" t="str">
        <f>IF(E6&gt;=90, "A", IF(E6&gt;=75, "B", IF(E6&gt;=50, "C", "Fail")))</f>
        <v>A</v>
      </c>
      <c r="G6" s="51" t="s">
        <v>36</v>
      </c>
      <c r="H6" s="59"/>
      <c r="I6" s="59"/>
      <c r="J6" s="59"/>
      <c r="K6" s="59"/>
      <c r="L6" s="60"/>
    </row>
    <row r="7" spans="2:12" x14ac:dyDescent="0.3">
      <c r="C7" s="30" t="s">
        <v>32</v>
      </c>
      <c r="D7" s="33"/>
      <c r="E7" s="42">
        <v>57</v>
      </c>
      <c r="F7" s="75" t="str">
        <f t="shared" ref="F6:F9" si="0">IF(E7&gt;=90, "A", IF(E7&gt;=75, "B", IF(E7&gt;=50, "C", "Fail")))</f>
        <v>C</v>
      </c>
      <c r="G7" s="51" t="s">
        <v>37</v>
      </c>
      <c r="H7" s="59"/>
      <c r="I7" s="59"/>
      <c r="J7" s="59"/>
      <c r="K7" s="59"/>
      <c r="L7" s="60"/>
    </row>
    <row r="8" spans="2:12" x14ac:dyDescent="0.3">
      <c r="C8" s="30" t="s">
        <v>33</v>
      </c>
      <c r="D8" s="33"/>
      <c r="E8" s="42">
        <v>92</v>
      </c>
      <c r="F8" s="75" t="str">
        <f t="shared" si="0"/>
        <v>A</v>
      </c>
      <c r="G8" s="51" t="s">
        <v>38</v>
      </c>
      <c r="H8" s="59"/>
      <c r="I8" s="59"/>
      <c r="J8" s="59"/>
      <c r="K8" s="59"/>
      <c r="L8" s="60"/>
    </row>
    <row r="9" spans="2:12" ht="15" thickBot="1" x14ac:dyDescent="0.35">
      <c r="C9" s="35" t="s">
        <v>34</v>
      </c>
      <c r="D9" s="38"/>
      <c r="E9" s="43">
        <v>75</v>
      </c>
      <c r="F9" s="76" t="str">
        <f t="shared" si="0"/>
        <v>B</v>
      </c>
      <c r="G9" s="53" t="s">
        <v>39</v>
      </c>
      <c r="H9" s="62"/>
      <c r="I9" s="62"/>
      <c r="J9" s="62"/>
      <c r="K9" s="62"/>
      <c r="L9" s="63"/>
    </row>
  </sheetData>
  <mergeCells count="13">
    <mergeCell ref="C8:D8"/>
    <mergeCell ref="C9:D9"/>
    <mergeCell ref="G5:L5"/>
    <mergeCell ref="G6:L6"/>
    <mergeCell ref="G7:L7"/>
    <mergeCell ref="G8:L8"/>
    <mergeCell ref="G9:L9"/>
    <mergeCell ref="B2:K2"/>
    <mergeCell ref="C4:D4"/>
    <mergeCell ref="C5:D5"/>
    <mergeCell ref="C6:D6"/>
    <mergeCell ref="C7:D7"/>
    <mergeCell ref="G4:L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62022-31DA-4ADC-B4F9-F95D8E831722}">
  <dimension ref="B1:Q8"/>
  <sheetViews>
    <sheetView workbookViewId="0">
      <selection activeCell="M11" sqref="M11"/>
    </sheetView>
  </sheetViews>
  <sheetFormatPr defaultRowHeight="14.4" x14ac:dyDescent="0.3"/>
  <sheetData>
    <row r="1" spans="2:17" ht="15" thickBot="1" x14ac:dyDescent="0.35"/>
    <row r="2" spans="2:17" ht="15" thickBot="1" x14ac:dyDescent="0.35">
      <c r="B2" s="69" t="s">
        <v>40</v>
      </c>
      <c r="C2" s="70"/>
      <c r="D2" s="70"/>
      <c r="E2" s="70"/>
      <c r="F2" s="70"/>
      <c r="G2" s="70"/>
      <c r="H2" s="70"/>
      <c r="I2" s="70"/>
      <c r="J2" s="70"/>
      <c r="K2" s="71"/>
    </row>
    <row r="3" spans="2:17" ht="15" thickBot="1" x14ac:dyDescent="0.35"/>
    <row r="4" spans="2:17" ht="15" thickBot="1" x14ac:dyDescent="0.35">
      <c r="B4" s="16"/>
      <c r="C4" s="20" t="s">
        <v>41</v>
      </c>
      <c r="D4" s="77" t="s">
        <v>42</v>
      </c>
      <c r="E4" s="21" t="s">
        <v>43</v>
      </c>
      <c r="F4" s="22"/>
      <c r="H4" s="16" t="s">
        <v>0</v>
      </c>
      <c r="I4" s="1" t="s">
        <v>54</v>
      </c>
      <c r="J4" s="1"/>
      <c r="K4" s="1"/>
      <c r="L4" s="1"/>
      <c r="M4" s="1"/>
    </row>
    <row r="5" spans="2:17" x14ac:dyDescent="0.3">
      <c r="C5" s="27" t="s">
        <v>44</v>
      </c>
      <c r="D5" s="41" t="s">
        <v>5</v>
      </c>
      <c r="E5" s="25" t="s">
        <v>50</v>
      </c>
      <c r="F5" s="28"/>
      <c r="I5" s="15" t="str">
        <f>VLOOKUP("E103",C5:E8, 3, FALSE)</f>
        <v>Finance</v>
      </c>
      <c r="J5" s="2" t="s">
        <v>57</v>
      </c>
      <c r="K5" s="2"/>
      <c r="L5" s="2"/>
      <c r="M5" s="2"/>
    </row>
    <row r="6" spans="2:17" x14ac:dyDescent="0.3">
      <c r="C6" s="32" t="s">
        <v>45</v>
      </c>
      <c r="D6" s="42" t="s">
        <v>3</v>
      </c>
      <c r="E6" s="30" t="s">
        <v>51</v>
      </c>
      <c r="F6" s="33"/>
      <c r="I6" s="2" t="s">
        <v>56</v>
      </c>
      <c r="J6" s="2"/>
      <c r="K6" s="2"/>
      <c r="L6" s="2"/>
      <c r="M6" s="2"/>
      <c r="N6" s="2"/>
      <c r="O6" s="2"/>
      <c r="P6" s="2"/>
      <c r="Q6" s="2"/>
    </row>
    <row r="7" spans="2:17" x14ac:dyDescent="0.3">
      <c r="C7" s="32" t="s">
        <v>46</v>
      </c>
      <c r="D7" s="42" t="s">
        <v>48</v>
      </c>
      <c r="E7" s="30" t="s">
        <v>52</v>
      </c>
      <c r="F7" s="33"/>
      <c r="I7" s="2" t="s">
        <v>55</v>
      </c>
      <c r="J7" s="2"/>
      <c r="K7" s="2"/>
      <c r="L7" s="2"/>
      <c r="M7" s="2"/>
      <c r="N7" s="2"/>
      <c r="O7" s="2"/>
      <c r="P7" s="2"/>
      <c r="Q7" s="2"/>
    </row>
    <row r="8" spans="2:17" ht="15" thickBot="1" x14ac:dyDescent="0.35">
      <c r="C8" s="37" t="s">
        <v>47</v>
      </c>
      <c r="D8" s="43" t="s">
        <v>49</v>
      </c>
      <c r="E8" s="35" t="s">
        <v>53</v>
      </c>
      <c r="F8" s="38"/>
    </row>
  </sheetData>
  <mergeCells count="10">
    <mergeCell ref="I7:Q7"/>
    <mergeCell ref="B2:K2"/>
    <mergeCell ref="E4:F4"/>
    <mergeCell ref="E5:F5"/>
    <mergeCell ref="E6:F6"/>
    <mergeCell ref="E7:F7"/>
    <mergeCell ref="E8:F8"/>
    <mergeCell ref="I4:M4"/>
    <mergeCell ref="J5:M5"/>
    <mergeCell ref="I6:Q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E1139-BDDE-4877-B11E-1DE47C1F5DC3}">
  <dimension ref="B1:O13"/>
  <sheetViews>
    <sheetView workbookViewId="0">
      <selection activeCell="B10" sqref="B10:L10"/>
    </sheetView>
  </sheetViews>
  <sheetFormatPr defaultRowHeight="14.4" x14ac:dyDescent="0.3"/>
  <sheetData>
    <row r="1" spans="2:15" ht="15" thickBot="1" x14ac:dyDescent="0.35"/>
    <row r="2" spans="2:15" ht="15" thickBot="1" x14ac:dyDescent="0.35">
      <c r="B2" s="69" t="s">
        <v>58</v>
      </c>
      <c r="C2" s="70"/>
      <c r="D2" s="70"/>
      <c r="E2" s="70"/>
      <c r="F2" s="70"/>
      <c r="G2" s="70"/>
      <c r="H2" s="70"/>
      <c r="I2" s="71"/>
    </row>
    <row r="3" spans="2:15" x14ac:dyDescent="0.3">
      <c r="B3" s="83" t="s">
        <v>18</v>
      </c>
      <c r="C3" s="89" t="s">
        <v>62</v>
      </c>
    </row>
    <row r="4" spans="2:15" ht="15" thickBot="1" x14ac:dyDescent="0.35">
      <c r="B4" s="83" t="s">
        <v>61</v>
      </c>
      <c r="C4" s="83" t="s">
        <v>63</v>
      </c>
      <c r="O4" s="79"/>
    </row>
    <row r="5" spans="2:15" x14ac:dyDescent="0.3">
      <c r="B5" s="84">
        <v>0</v>
      </c>
      <c r="C5" s="85">
        <v>0.05</v>
      </c>
      <c r="O5" s="79"/>
    </row>
    <row r="6" spans="2:15" x14ac:dyDescent="0.3">
      <c r="B6" s="81">
        <v>20000</v>
      </c>
      <c r="C6" s="86">
        <v>0.1</v>
      </c>
      <c r="O6" s="79"/>
    </row>
    <row r="7" spans="2:15" x14ac:dyDescent="0.3">
      <c r="B7" s="81">
        <v>50000</v>
      </c>
      <c r="C7" s="86">
        <v>0.15</v>
      </c>
      <c r="O7" s="79"/>
    </row>
    <row r="8" spans="2:15" ht="15" thickBot="1" x14ac:dyDescent="0.35">
      <c r="B8" s="82">
        <v>80000</v>
      </c>
      <c r="C8" s="87">
        <v>0.2</v>
      </c>
    </row>
    <row r="9" spans="2:15" ht="15" thickBot="1" x14ac:dyDescent="0.35"/>
    <row r="10" spans="2:15" ht="15" thickBot="1" x14ac:dyDescent="0.35">
      <c r="B10" s="69" t="s">
        <v>59</v>
      </c>
      <c r="C10" s="70"/>
      <c r="D10" s="70"/>
      <c r="E10" s="70"/>
      <c r="F10" s="70"/>
      <c r="G10" s="70"/>
      <c r="H10" s="70"/>
      <c r="I10" s="70"/>
      <c r="J10" s="70"/>
      <c r="K10" s="70"/>
      <c r="L10" s="71"/>
      <c r="O10" s="80"/>
    </row>
    <row r="12" spans="2:15" x14ac:dyDescent="0.3">
      <c r="B12" s="16" t="s">
        <v>0</v>
      </c>
      <c r="C12" s="2" t="s">
        <v>60</v>
      </c>
      <c r="D12" s="2"/>
      <c r="E12" s="2"/>
      <c r="F12" s="2"/>
      <c r="G12" s="2"/>
      <c r="H12" s="2"/>
    </row>
    <row r="13" spans="2:15" x14ac:dyDescent="0.3">
      <c r="C13" s="88">
        <f>VLOOKUP(45000, B5:C8, 2, TRUE)</f>
        <v>0.1</v>
      </c>
      <c r="D13" s="2" t="s">
        <v>64</v>
      </c>
      <c r="E13" s="2"/>
      <c r="F13" s="2"/>
      <c r="G13" s="2"/>
      <c r="H13" s="2"/>
    </row>
  </sheetData>
  <mergeCells count="4">
    <mergeCell ref="C12:H12"/>
    <mergeCell ref="D13:H13"/>
    <mergeCell ref="B10:L10"/>
    <mergeCell ref="B2: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74D46-35C4-4FA7-8B1D-862FC1F8E265}">
  <dimension ref="B1:J16"/>
  <sheetViews>
    <sheetView workbookViewId="0">
      <selection activeCell="K16" sqref="K16"/>
    </sheetView>
  </sheetViews>
  <sheetFormatPr defaultRowHeight="14.4" x14ac:dyDescent="0.3"/>
  <sheetData>
    <row r="1" spans="2:10" ht="15" thickBot="1" x14ac:dyDescent="0.35"/>
    <row r="2" spans="2:10" ht="15" thickBot="1" x14ac:dyDescent="0.35">
      <c r="B2" s="69" t="s">
        <v>65</v>
      </c>
      <c r="C2" s="70"/>
      <c r="D2" s="70"/>
      <c r="E2" s="70"/>
      <c r="F2" s="70"/>
      <c r="G2" s="70"/>
      <c r="H2" s="70"/>
      <c r="I2" s="70"/>
      <c r="J2" s="71"/>
    </row>
    <row r="3" spans="2:10" ht="15" thickBot="1" x14ac:dyDescent="0.35"/>
    <row r="4" spans="2:10" ht="15" thickBot="1" x14ac:dyDescent="0.35">
      <c r="B4" s="21" t="s">
        <v>66</v>
      </c>
      <c r="C4" s="22"/>
      <c r="D4" s="23" t="s">
        <v>67</v>
      </c>
      <c r="E4" s="19"/>
      <c r="F4" s="21" t="s">
        <v>68</v>
      </c>
      <c r="G4" s="22"/>
    </row>
    <row r="5" spans="2:10" x14ac:dyDescent="0.3">
      <c r="B5" s="25" t="s">
        <v>69</v>
      </c>
      <c r="C5" s="28"/>
      <c r="D5" s="29">
        <v>10</v>
      </c>
      <c r="E5" s="26"/>
      <c r="F5" s="25">
        <v>12</v>
      </c>
      <c r="G5" s="28"/>
    </row>
    <row r="6" spans="2:10" x14ac:dyDescent="0.3">
      <c r="B6" s="30" t="s">
        <v>70</v>
      </c>
      <c r="C6" s="33"/>
      <c r="D6" s="34">
        <v>10</v>
      </c>
      <c r="E6" s="31"/>
      <c r="F6" s="30">
        <v>15</v>
      </c>
      <c r="G6" s="33"/>
    </row>
    <row r="7" spans="2:10" ht="15" thickBot="1" x14ac:dyDescent="0.35">
      <c r="B7" s="35" t="s">
        <v>71</v>
      </c>
      <c r="C7" s="38"/>
      <c r="D7" s="39">
        <v>8</v>
      </c>
      <c r="E7" s="36"/>
      <c r="F7" s="35">
        <v>12</v>
      </c>
      <c r="G7" s="38"/>
    </row>
    <row r="8" spans="2:10" ht="15" thickBot="1" x14ac:dyDescent="0.35"/>
    <row r="9" spans="2:10" x14ac:dyDescent="0.3">
      <c r="B9" s="91" t="s">
        <v>72</v>
      </c>
      <c r="C9" s="92"/>
      <c r="D9" s="92"/>
      <c r="E9" s="92"/>
      <c r="F9" s="92"/>
      <c r="G9" s="92"/>
      <c r="H9" s="92"/>
      <c r="I9" s="92"/>
      <c r="J9" s="93"/>
    </row>
    <row r="10" spans="2:10" x14ac:dyDescent="0.3">
      <c r="B10" s="94"/>
      <c r="C10" s="95"/>
      <c r="D10" s="95"/>
      <c r="E10" s="95"/>
      <c r="F10" s="95"/>
      <c r="G10" s="95"/>
      <c r="H10" s="95"/>
      <c r="I10" s="95"/>
      <c r="J10" s="96"/>
    </row>
    <row r="11" spans="2:10" ht="15" thickBot="1" x14ac:dyDescent="0.35">
      <c r="B11" s="97"/>
      <c r="C11" s="98"/>
      <c r="D11" s="98"/>
      <c r="E11" s="98"/>
      <c r="F11" s="98"/>
      <c r="G11" s="98"/>
      <c r="H11" s="98"/>
      <c r="I11" s="98"/>
      <c r="J11" s="99"/>
    </row>
    <row r="12" spans="2:10" ht="15" thickBot="1" x14ac:dyDescent="0.35">
      <c r="B12" s="90"/>
    </row>
    <row r="13" spans="2:10" ht="15" thickBot="1" x14ac:dyDescent="0.35">
      <c r="B13" s="16" t="s">
        <v>0</v>
      </c>
      <c r="C13" s="21" t="s">
        <v>20</v>
      </c>
      <c r="D13" s="22"/>
    </row>
    <row r="14" spans="2:10" x14ac:dyDescent="0.3">
      <c r="C14" s="55" t="str">
        <f>IF(D5&gt;F5, "Exceeded", "OK")</f>
        <v>OK</v>
      </c>
      <c r="D14" s="57"/>
      <c r="E14" s="100" t="s">
        <v>73</v>
      </c>
      <c r="F14" s="17"/>
      <c r="G14" s="17"/>
    </row>
    <row r="15" spans="2:10" x14ac:dyDescent="0.3">
      <c r="C15" s="58" t="str">
        <f>IF(D6&gt;F6, "Exceeded", "OK")</f>
        <v>OK</v>
      </c>
      <c r="D15" s="60"/>
      <c r="E15" s="100" t="s">
        <v>74</v>
      </c>
      <c r="F15" s="17"/>
      <c r="G15" s="17"/>
    </row>
    <row r="16" spans="2:10" ht="15" thickBot="1" x14ac:dyDescent="0.35">
      <c r="C16" s="61" t="str">
        <f t="shared" ref="C15:C16" si="0">IF(D7&gt;F7, "Exceeded", "OK")</f>
        <v>OK</v>
      </c>
      <c r="D16" s="63"/>
      <c r="E16" s="100" t="s">
        <v>75</v>
      </c>
      <c r="F16" s="17"/>
      <c r="G16" s="17"/>
    </row>
  </sheetData>
  <mergeCells count="21">
    <mergeCell ref="B9:J11"/>
    <mergeCell ref="C13:D13"/>
    <mergeCell ref="C14:D14"/>
    <mergeCell ref="C15:D15"/>
    <mergeCell ref="C16:D16"/>
    <mergeCell ref="E14:G14"/>
    <mergeCell ref="E15:G15"/>
    <mergeCell ref="E16:G16"/>
    <mergeCell ref="B7:C7"/>
    <mergeCell ref="D6:E6"/>
    <mergeCell ref="D7:E7"/>
    <mergeCell ref="D5:E5"/>
    <mergeCell ref="F5:G5"/>
    <mergeCell ref="F6:G6"/>
    <mergeCell ref="F7:G7"/>
    <mergeCell ref="B2:J2"/>
    <mergeCell ref="B4:C4"/>
    <mergeCell ref="D4:E4"/>
    <mergeCell ref="F4:G4"/>
    <mergeCell ref="B5:C5"/>
    <mergeCell ref="B6:C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A4960-CAA6-40DF-A8A5-9C51FFBB4E2A}">
  <dimension ref="B1:K8"/>
  <sheetViews>
    <sheetView workbookViewId="0">
      <selection activeCell="E10" sqref="E10"/>
    </sheetView>
  </sheetViews>
  <sheetFormatPr defaultRowHeight="14.4" x14ac:dyDescent="0.3"/>
  <sheetData>
    <row r="1" spans="2:11" ht="15" thickBot="1" x14ac:dyDescent="0.35"/>
    <row r="2" spans="2:11" ht="15" thickBot="1" x14ac:dyDescent="0.35">
      <c r="B2" s="69" t="s">
        <v>76</v>
      </c>
      <c r="C2" s="70"/>
      <c r="D2" s="70"/>
      <c r="E2" s="70"/>
      <c r="F2" s="70"/>
      <c r="G2" s="70"/>
      <c r="H2" s="71"/>
    </row>
    <row r="3" spans="2:11" ht="15" thickBot="1" x14ac:dyDescent="0.35"/>
    <row r="4" spans="2:11" ht="15" thickBot="1" x14ac:dyDescent="0.35">
      <c r="B4" s="101" t="s">
        <v>41</v>
      </c>
      <c r="C4" s="20" t="s">
        <v>77</v>
      </c>
    </row>
    <row r="5" spans="2:11" x14ac:dyDescent="0.3">
      <c r="B5" s="102" t="s">
        <v>47</v>
      </c>
      <c r="C5" s="27">
        <v>55000</v>
      </c>
      <c r="E5" s="16" t="s">
        <v>0</v>
      </c>
      <c r="F5" s="2" t="s">
        <v>80</v>
      </c>
      <c r="G5" s="2"/>
      <c r="H5" s="2"/>
      <c r="I5" s="2"/>
    </row>
    <row r="6" spans="2:11" x14ac:dyDescent="0.3">
      <c r="B6" s="103" t="s">
        <v>78</v>
      </c>
      <c r="C6" s="32">
        <v>72000</v>
      </c>
      <c r="F6" s="15">
        <f>INDEX(C5:C8, MATCH("E105", B5:B8, 0))</f>
        <v>72000</v>
      </c>
      <c r="G6" s="68" t="s">
        <v>81</v>
      </c>
      <c r="H6" s="68"/>
      <c r="I6" s="68"/>
      <c r="J6" s="68"/>
      <c r="K6" s="68"/>
    </row>
    <row r="7" spans="2:11" x14ac:dyDescent="0.3">
      <c r="B7" s="103" t="s">
        <v>79</v>
      </c>
      <c r="C7" s="32">
        <v>62000</v>
      </c>
    </row>
    <row r="8" spans="2:11" ht="15" thickBot="1" x14ac:dyDescent="0.35">
      <c r="B8" s="104" t="s">
        <v>45</v>
      </c>
      <c r="C8" s="37">
        <v>41000</v>
      </c>
    </row>
  </sheetData>
  <mergeCells count="3">
    <mergeCell ref="B2:H2"/>
    <mergeCell ref="F5:I5"/>
    <mergeCell ref="G6:K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46406-08D3-4C92-86E4-5C3CC90850AE}">
  <dimension ref="B1:J8"/>
  <sheetViews>
    <sheetView tabSelected="1" workbookViewId="0">
      <selection activeCell="G9" sqref="G9"/>
    </sheetView>
  </sheetViews>
  <sheetFormatPr defaultRowHeight="14.4" x14ac:dyDescent="0.3"/>
  <sheetData>
    <row r="1" spans="2:10" ht="15" thickBot="1" x14ac:dyDescent="0.35"/>
    <row r="2" spans="2:10" ht="15" thickBot="1" x14ac:dyDescent="0.35">
      <c r="B2" s="69" t="s">
        <v>82</v>
      </c>
      <c r="C2" s="70"/>
      <c r="D2" s="70"/>
      <c r="E2" s="70"/>
      <c r="F2" s="70"/>
      <c r="G2" s="70"/>
      <c r="H2" s="70"/>
      <c r="I2" s="70"/>
      <c r="J2" s="71"/>
    </row>
    <row r="3" spans="2:10" ht="15" thickBot="1" x14ac:dyDescent="0.35"/>
    <row r="4" spans="2:10" ht="15" thickBot="1" x14ac:dyDescent="0.35">
      <c r="B4" s="20" t="s">
        <v>41</v>
      </c>
      <c r="C4" s="105" t="s">
        <v>77</v>
      </c>
    </row>
    <row r="5" spans="2:10" x14ac:dyDescent="0.3">
      <c r="B5" s="27" t="s">
        <v>44</v>
      </c>
      <c r="C5" s="106" t="s">
        <v>51</v>
      </c>
      <c r="E5" s="16" t="s">
        <v>0</v>
      </c>
      <c r="F5" s="1" t="s">
        <v>85</v>
      </c>
      <c r="G5" s="1"/>
      <c r="H5" s="1"/>
      <c r="I5" s="1"/>
    </row>
    <row r="6" spans="2:10" x14ac:dyDescent="0.3">
      <c r="B6" s="32" t="s">
        <v>83</v>
      </c>
      <c r="C6" s="107" t="s">
        <v>50</v>
      </c>
      <c r="F6" s="78" t="str">
        <f>_xlfn.XLOOKUP("E303", B5:B8, C5:C8)</f>
        <v>IT</v>
      </c>
      <c r="G6" s="68" t="s">
        <v>86</v>
      </c>
      <c r="H6" s="68"/>
      <c r="I6" s="68"/>
      <c r="J6" s="68"/>
    </row>
    <row r="7" spans="2:10" x14ac:dyDescent="0.3">
      <c r="B7" s="32" t="s">
        <v>79</v>
      </c>
      <c r="C7" s="107" t="s">
        <v>53</v>
      </c>
    </row>
    <row r="8" spans="2:10" ht="15" thickBot="1" x14ac:dyDescent="0.35">
      <c r="B8" s="37" t="s">
        <v>84</v>
      </c>
      <c r="C8" s="108" t="s">
        <v>52</v>
      </c>
    </row>
  </sheetData>
  <mergeCells count="3">
    <mergeCell ref="B2:J2"/>
    <mergeCell ref="F5:I5"/>
    <mergeCell ref="G6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QUESTION 1</vt:lpstr>
      <vt:lpstr>QUESTION 2</vt:lpstr>
      <vt:lpstr>QUESTION 3</vt:lpstr>
      <vt:lpstr>QUESTION 4</vt:lpstr>
      <vt:lpstr>QUESTION 5</vt:lpstr>
      <vt:lpstr>QUESTION 6</vt:lpstr>
      <vt:lpstr>QUESTION 7</vt:lpstr>
      <vt:lpstr>QUESTION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soumya khosla</dc:creator>
  <cp:lastModifiedBy>soumya khosla</cp:lastModifiedBy>
  <dcterms:created xsi:type="dcterms:W3CDTF">2025-11-10T19:45:20Z</dcterms:created>
  <dcterms:modified xsi:type="dcterms:W3CDTF">2025-11-10T23:03:18Z</dcterms:modified>
</cp:coreProperties>
</file>