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0c422ca3d7cbcf85/"/>
    </mc:Choice>
  </mc:AlternateContent>
  <xr:revisionPtr revIDLastSave="845" documentId="8_{756F6580-8C4B-4332-A27D-44C1AAEBB277}" xr6:coauthVersionLast="47" xr6:coauthVersionMax="47" xr10:uidLastSave="{251D630E-6A1D-43AB-9288-855BD2C491EC}"/>
  <bookViews>
    <workbookView xWindow="-108" yWindow="-108" windowWidth="23256" windowHeight="12456" firstSheet="5" activeTab="10" xr2:uid="{00000000-000D-0000-FFFF-FFFF00000000}"/>
  </bookViews>
  <sheets>
    <sheet name="Sheet1" sheetId="1" r:id="rId1"/>
    <sheet name="QUESTION 1" sheetId="2" r:id="rId2"/>
    <sheet name="QUESTION 2" sheetId="4" r:id="rId3"/>
    <sheet name="QUESTION 3" sheetId="5" r:id="rId4"/>
    <sheet name="QUESTION 4" sheetId="6" r:id="rId5"/>
    <sheet name="QUESTION 5" sheetId="8" r:id="rId6"/>
    <sheet name="QUESTION 6" sheetId="10" r:id="rId7"/>
    <sheet name="QUESTION 7" sheetId="11" r:id="rId8"/>
    <sheet name="QUESTION 8" sheetId="12" r:id="rId9"/>
    <sheet name="QUESTION 9" sheetId="15" r:id="rId10"/>
    <sheet name="QUESTION 10" sheetId="18" r:id="rId11"/>
  </sheets>
  <definedNames>
    <definedName name="_xlnm._FilterDatabase" localSheetId="4" hidden="1">'QUESTION 4'!$B$2:$F$22</definedName>
    <definedName name="Slicer_Product">#N/A</definedName>
    <definedName name="Slicer_Product1">#N/A</definedName>
  </definedNames>
  <calcPr calcId="191029"/>
  <pivotCaches>
    <pivotCache cacheId="20" r:id="rId12"/>
    <pivotCache cacheId="2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8" l="1"/>
  <c r="F5" i="18"/>
  <c r="F6" i="18"/>
  <c r="F7" i="18"/>
  <c r="F8" i="18"/>
  <c r="F9" i="18"/>
  <c r="F10" i="18"/>
  <c r="F11" i="18"/>
  <c r="F12" i="18"/>
  <c r="F13" i="18"/>
  <c r="F14" i="18"/>
  <c r="F15" i="18"/>
  <c r="F16" i="18"/>
  <c r="F17" i="18"/>
  <c r="F18" i="18"/>
  <c r="F19" i="18"/>
  <c r="F20" i="18"/>
  <c r="F21" i="18"/>
  <c r="F22" i="18"/>
  <c r="F3" i="18"/>
</calcChain>
</file>

<file path=xl/sharedStrings.xml><?xml version="1.0" encoding="utf-8"?>
<sst xmlns="http://schemas.openxmlformats.org/spreadsheetml/2006/main" count="264" uniqueCount="47">
  <si>
    <t>Date</t>
  </si>
  <si>
    <t>Region</t>
  </si>
  <si>
    <t>Product</t>
  </si>
  <si>
    <t>Sales</t>
  </si>
  <si>
    <t>Quantity</t>
  </si>
  <si>
    <t>West</t>
  </si>
  <si>
    <t>South</t>
  </si>
  <si>
    <t>East</t>
  </si>
  <si>
    <t>North</t>
  </si>
  <si>
    <t>Mangoes</t>
  </si>
  <si>
    <t>Oranges</t>
  </si>
  <si>
    <t>Apples</t>
  </si>
  <si>
    <t xml:space="preserve"> 1. What is the purpose of a PivotTable in Excel?</t>
  </si>
  <si>
    <t>ans-</t>
  </si>
  <si>
    <r>
      <t>A</t>
    </r>
    <r>
      <rPr>
        <b/>
        <sz val="11"/>
        <color theme="1"/>
        <rFont val="Calibri"/>
        <family val="2"/>
        <scheme val="minor"/>
      </rPr>
      <t xml:space="preserve"> PivotTable</t>
    </r>
    <r>
      <rPr>
        <sz val="11"/>
        <color theme="1"/>
        <rFont val="Calibri"/>
        <family val="2"/>
        <scheme val="minor"/>
      </rPr>
      <t xml:space="preserve"> in Excel is a tool used to</t>
    </r>
    <r>
      <rPr>
        <b/>
        <sz val="11"/>
        <color theme="1"/>
        <rFont val="Calibri"/>
        <family val="2"/>
        <scheme val="minor"/>
      </rPr>
      <t xml:space="preserve"> summarize</t>
    </r>
    <r>
      <rPr>
        <sz val="11"/>
        <color theme="1"/>
        <rFont val="Calibri"/>
        <family val="2"/>
        <scheme val="minor"/>
      </rPr>
      <t xml:space="preserve"> and </t>
    </r>
    <r>
      <rPr>
        <b/>
        <sz val="11"/>
        <color theme="1"/>
        <rFont val="Calibri"/>
        <family val="2"/>
        <scheme val="minor"/>
      </rPr>
      <t>analyze</t>
    </r>
    <r>
      <rPr>
        <sz val="11"/>
        <color theme="1"/>
        <rFont val="Calibri"/>
        <family val="2"/>
        <scheme val="minor"/>
      </rPr>
      <t xml:space="preserve"> large amounts of data quickly and efficiently.
</t>
    </r>
    <r>
      <rPr>
        <b/>
        <sz val="11"/>
        <color theme="1"/>
        <rFont val="Calibri"/>
        <family val="2"/>
        <scheme val="minor"/>
      </rPr>
      <t>Purpose:</t>
    </r>
    <r>
      <rPr>
        <sz val="11"/>
        <color theme="1"/>
        <rFont val="Calibri"/>
        <family val="2"/>
        <scheme val="minor"/>
      </rPr>
      <t xml:space="preserve">
-To organize and summarize detailed data.
-To compare, group, and filter information easily.
-To help identify patterns, trends, and insights without using complex formulas.
</t>
    </r>
    <r>
      <rPr>
        <b/>
        <sz val="11"/>
        <color theme="1"/>
        <rFont val="Calibri"/>
        <family val="2"/>
        <scheme val="minor"/>
      </rPr>
      <t>Example:</t>
    </r>
    <r>
      <rPr>
        <sz val="11"/>
        <color theme="1"/>
        <rFont val="Calibri"/>
        <family val="2"/>
        <scheme val="minor"/>
      </rPr>
      <t xml:space="preserve">
-If you have sales data for different regions and products, a PivotTable can instantly show total sales by region or by product.</t>
    </r>
  </si>
  <si>
    <t xml:space="preserve"> 2. Create a PivotTable to show Total Sales by Region.</t>
  </si>
  <si>
    <t>Grand Total</t>
  </si>
  <si>
    <t>Total Sales</t>
  </si>
  <si>
    <r>
      <rPr>
        <b/>
        <sz val="11"/>
        <color theme="1"/>
        <rFont val="Calibri"/>
        <family val="2"/>
        <scheme val="minor"/>
      </rPr>
      <t>Steps</t>
    </r>
    <r>
      <rPr>
        <sz val="11"/>
        <color theme="1"/>
        <rFont val="Calibri"/>
        <family val="2"/>
        <scheme val="minor"/>
      </rPr>
      <t xml:space="preserve"> to create pivot table to show</t>
    </r>
    <r>
      <rPr>
        <b/>
        <sz val="11"/>
        <color theme="1"/>
        <rFont val="Calibri"/>
        <family val="2"/>
        <scheme val="minor"/>
      </rPr>
      <t xml:space="preserve"> total sales</t>
    </r>
    <r>
      <rPr>
        <sz val="11"/>
        <color theme="1"/>
        <rFont val="Calibri"/>
        <family val="2"/>
        <scheme val="minor"/>
      </rPr>
      <t xml:space="preserve"> by </t>
    </r>
    <r>
      <rPr>
        <b/>
        <sz val="11"/>
        <color theme="1"/>
        <rFont val="Calibri"/>
        <family val="2"/>
        <scheme val="minor"/>
      </rPr>
      <t xml:space="preserve">region-: </t>
    </r>
    <r>
      <rPr>
        <sz val="11"/>
        <color theme="1"/>
        <rFont val="Calibri"/>
        <family val="2"/>
        <scheme val="minor"/>
      </rPr>
      <t xml:space="preserve">                                                                                                                  1.</t>
    </r>
    <r>
      <rPr>
        <b/>
        <sz val="11"/>
        <color theme="1"/>
        <rFont val="Calibri"/>
        <family val="2"/>
        <scheme val="minor"/>
      </rPr>
      <t xml:space="preserve"> Select your data</t>
    </r>
    <r>
      <rPr>
        <sz val="11"/>
        <color theme="1"/>
        <rFont val="Calibri"/>
        <family val="2"/>
        <scheme val="minor"/>
      </rPr>
      <t xml:space="preserve"> (make sure it includes Region and Sales columns).
2.</t>
    </r>
    <r>
      <rPr>
        <b/>
        <sz val="11"/>
        <color theme="1"/>
        <rFont val="Calibri"/>
        <family val="2"/>
        <scheme val="minor"/>
      </rPr>
      <t xml:space="preserve"> Go to the Insert tab → click PivotTable.</t>
    </r>
    <r>
      <rPr>
        <sz val="11"/>
        <color theme="1"/>
        <rFont val="Calibri"/>
        <family val="2"/>
        <scheme val="minor"/>
      </rPr>
      <t xml:space="preserve">
3. In the dialog box, confirm your data range and choose where to place the PivotTable. </t>
    </r>
    <r>
      <rPr>
        <b/>
        <sz val="11"/>
        <color theme="1"/>
        <rFont val="Calibri"/>
        <family val="2"/>
        <scheme val="minor"/>
      </rPr>
      <t>Click OK</t>
    </r>
    <r>
      <rPr>
        <sz val="11"/>
        <color theme="1"/>
        <rFont val="Calibri"/>
        <family val="2"/>
        <scheme val="minor"/>
      </rPr>
      <t xml:space="preserve">.
4. In the PivotTable Fields pane:
</t>
    </r>
    <r>
      <rPr>
        <b/>
        <sz val="11"/>
        <color theme="1"/>
        <rFont val="Calibri"/>
        <family val="2"/>
        <scheme val="minor"/>
      </rPr>
      <t>-Drag Region to the Rows area.</t>
    </r>
    <r>
      <rPr>
        <sz val="11"/>
        <color theme="1"/>
        <rFont val="Calibri"/>
        <family val="2"/>
        <scheme val="minor"/>
      </rPr>
      <t xml:space="preserve">
</t>
    </r>
    <r>
      <rPr>
        <b/>
        <sz val="11"/>
        <color theme="1"/>
        <rFont val="Calibri"/>
        <family val="2"/>
        <scheme val="minor"/>
      </rPr>
      <t>- Drag Sales to the Values area</t>
    </r>
    <r>
      <rPr>
        <sz val="11"/>
        <color theme="1"/>
        <rFont val="Calibri"/>
        <family val="2"/>
        <scheme val="minor"/>
      </rPr>
      <t>.
5.  Excel will automatically show Total Sales by Region.
6. (Optional) Format the numbers for a clean look — right-click a value → Number Format → select Currency or Number.</t>
    </r>
  </si>
  <si>
    <t>4. Apply Conditional Formatting to highlight sales greater than 400.</t>
  </si>
  <si>
    <r>
      <rPr>
        <b/>
        <sz val="11"/>
        <color theme="1"/>
        <rFont val="Calibri"/>
        <family val="2"/>
        <scheme val="minor"/>
      </rPr>
      <t>Steps:</t>
    </r>
    <r>
      <rPr>
        <sz val="11"/>
        <color theme="1"/>
        <rFont val="Calibri"/>
        <family val="2"/>
        <scheme val="minor"/>
      </rPr>
      <t xml:space="preserve">
</t>
    </r>
    <r>
      <rPr>
        <b/>
        <sz val="11"/>
        <color theme="1"/>
        <rFont val="Calibri"/>
        <family val="2"/>
        <scheme val="minor"/>
      </rPr>
      <t>1. Select the Sales Data</t>
    </r>
    <r>
      <rPr>
        <sz val="11"/>
        <color theme="1"/>
        <rFont val="Calibri"/>
        <family val="2"/>
        <scheme val="minor"/>
      </rPr>
      <t xml:space="preserve">
</t>
    </r>
    <r>
      <rPr>
        <b/>
        <sz val="11"/>
        <color theme="1"/>
        <rFont val="Calibri"/>
        <family val="2"/>
        <scheme val="minor"/>
      </rPr>
      <t xml:space="preserve">- Click </t>
    </r>
    <r>
      <rPr>
        <sz val="11"/>
        <color theme="1"/>
        <rFont val="Calibri"/>
        <family val="2"/>
        <scheme val="minor"/>
      </rPr>
      <t>and</t>
    </r>
    <r>
      <rPr>
        <b/>
        <sz val="11"/>
        <color theme="1"/>
        <rFont val="Calibri"/>
        <family val="2"/>
        <scheme val="minor"/>
      </rPr>
      <t xml:space="preserve"> drag</t>
    </r>
    <r>
      <rPr>
        <sz val="11"/>
        <color theme="1"/>
        <rFont val="Calibri"/>
        <family val="2"/>
        <scheme val="minor"/>
      </rPr>
      <t xml:space="preserve"> to highlight the cells containing your sales values (for example, the Total Sales column in your PivotTable).
</t>
    </r>
    <r>
      <rPr>
        <b/>
        <sz val="11"/>
        <color theme="1"/>
        <rFont val="Calibri"/>
        <family val="2"/>
        <scheme val="minor"/>
      </rPr>
      <t>2. Open Conditional Formatting</t>
    </r>
    <r>
      <rPr>
        <sz val="11"/>
        <color theme="1"/>
        <rFont val="Calibri"/>
        <family val="2"/>
        <scheme val="minor"/>
      </rPr>
      <t xml:space="preserve">
- Go to the</t>
    </r>
    <r>
      <rPr>
        <b/>
        <sz val="11"/>
        <color theme="1"/>
        <rFont val="Calibri"/>
        <family val="2"/>
        <scheme val="minor"/>
      </rPr>
      <t xml:space="preserve"> Home tab</t>
    </r>
    <r>
      <rPr>
        <sz val="11"/>
        <color theme="1"/>
        <rFont val="Calibri"/>
        <family val="2"/>
        <scheme val="minor"/>
      </rPr>
      <t xml:space="preserve"> on the Ribbon.
-</t>
    </r>
    <r>
      <rPr>
        <b/>
        <sz val="11"/>
        <color theme="1"/>
        <rFont val="Calibri"/>
        <family val="2"/>
        <scheme val="minor"/>
      </rPr>
      <t xml:space="preserve"> Click</t>
    </r>
    <r>
      <rPr>
        <sz val="11"/>
        <color theme="1"/>
        <rFont val="Calibri"/>
        <family val="2"/>
        <scheme val="minor"/>
      </rPr>
      <t xml:space="preserve"> Conditional Formatting → Highlight Cells Rules → Greater Than…
</t>
    </r>
    <r>
      <rPr>
        <b/>
        <sz val="11"/>
        <color theme="1"/>
        <rFont val="Calibri"/>
        <family val="2"/>
        <scheme val="minor"/>
      </rPr>
      <t>3. Set the Rule</t>
    </r>
    <r>
      <rPr>
        <sz val="11"/>
        <color theme="1"/>
        <rFont val="Calibri"/>
        <family val="2"/>
        <scheme val="minor"/>
      </rPr>
      <t xml:space="preserve">
- In the box that appears, type 400.
-</t>
    </r>
    <r>
      <rPr>
        <b/>
        <sz val="11"/>
        <color theme="1"/>
        <rFont val="Calibri"/>
        <family val="2"/>
        <scheme val="minor"/>
      </rPr>
      <t xml:space="preserve"> Choose a format</t>
    </r>
    <r>
      <rPr>
        <sz val="11"/>
        <color theme="1"/>
        <rFont val="Calibri"/>
        <family val="2"/>
        <scheme val="minor"/>
      </rPr>
      <t xml:space="preserve"> (e.g., Light Red Fill with Dark Red Text), or</t>
    </r>
    <r>
      <rPr>
        <b/>
        <sz val="11"/>
        <color theme="1"/>
        <rFont val="Calibri"/>
        <family val="2"/>
        <scheme val="minor"/>
      </rPr>
      <t xml:space="preserve"> click</t>
    </r>
    <r>
      <rPr>
        <sz val="11"/>
        <color theme="1"/>
        <rFont val="Calibri"/>
        <family val="2"/>
        <scheme val="minor"/>
      </rPr>
      <t xml:space="preserve"> Custom Format… to choose your own style.
</t>
    </r>
    <r>
      <rPr>
        <b/>
        <sz val="11"/>
        <color theme="1"/>
        <rFont val="Calibri"/>
        <family val="2"/>
        <scheme val="minor"/>
      </rPr>
      <t>4. Apply the Formatting
- Click OK.</t>
    </r>
  </si>
  <si>
    <t xml:space="preserve"> 4.Explain the difference between Sorting and Filtering with an example from this dataset.</t>
  </si>
  <si>
    <r>
      <rPr>
        <b/>
        <sz val="11"/>
        <color theme="1"/>
        <rFont val="Calibri"/>
        <family val="2"/>
        <scheme val="minor"/>
      </rPr>
      <t>Sorting Data-:</t>
    </r>
    <r>
      <rPr>
        <sz val="11"/>
        <color theme="1"/>
        <rFont val="Calibri"/>
        <family val="2"/>
        <scheme val="minor"/>
      </rPr>
      <t xml:space="preserve">
</t>
    </r>
    <r>
      <rPr>
        <b/>
        <sz val="11"/>
        <color theme="1"/>
        <rFont val="Calibri"/>
        <family val="2"/>
        <scheme val="minor"/>
      </rPr>
      <t>1. Select Your Data</t>
    </r>
    <r>
      <rPr>
        <sz val="11"/>
        <color theme="1"/>
        <rFont val="Calibri"/>
        <family val="2"/>
        <scheme val="minor"/>
      </rPr>
      <t xml:space="preserve">
</t>
    </r>
    <r>
      <rPr>
        <b/>
        <sz val="11"/>
        <color theme="1"/>
        <rFont val="Calibri"/>
        <family val="2"/>
        <scheme val="minor"/>
      </rPr>
      <t>Click</t>
    </r>
    <r>
      <rPr>
        <sz val="11"/>
        <color theme="1"/>
        <rFont val="Calibri"/>
        <family val="2"/>
        <scheme val="minor"/>
      </rPr>
      <t xml:space="preserve"> anywhere inside your dataset (e.g., Region and Sales columns).
</t>
    </r>
    <r>
      <rPr>
        <b/>
        <sz val="11"/>
        <color theme="1"/>
        <rFont val="Calibri"/>
        <family val="2"/>
        <scheme val="minor"/>
      </rPr>
      <t>2. Open the Sort Options</t>
    </r>
    <r>
      <rPr>
        <sz val="11"/>
        <color theme="1"/>
        <rFont val="Calibri"/>
        <family val="2"/>
        <scheme val="minor"/>
      </rPr>
      <t xml:space="preserve">                                                                      Go to the Home tab →</t>
    </r>
    <r>
      <rPr>
        <b/>
        <sz val="11"/>
        <color theme="1"/>
        <rFont val="Calibri"/>
        <family val="2"/>
        <scheme val="minor"/>
      </rPr>
      <t xml:space="preserve"> click Sort &amp; Filter</t>
    </r>
    <r>
      <rPr>
        <sz val="11"/>
        <color theme="1"/>
        <rFont val="Calibri"/>
        <family val="2"/>
        <scheme val="minor"/>
      </rPr>
      <t xml:space="preserve"> (on the right side of the Ribbon).
</t>
    </r>
    <r>
      <rPr>
        <b/>
        <sz val="11"/>
        <color theme="1"/>
        <rFont val="Calibri"/>
        <family val="2"/>
        <scheme val="minor"/>
      </rPr>
      <t>3. Choose a Sort Order</t>
    </r>
    <r>
      <rPr>
        <sz val="11"/>
        <color theme="1"/>
        <rFont val="Calibri"/>
        <family val="2"/>
        <scheme val="minor"/>
      </rPr>
      <t xml:space="preserve">
</t>
    </r>
    <r>
      <rPr>
        <b/>
        <sz val="11"/>
        <color theme="1"/>
        <rFont val="Calibri"/>
        <family val="2"/>
        <scheme val="minor"/>
      </rPr>
      <t>Select</t>
    </r>
    <r>
      <rPr>
        <sz val="11"/>
        <color theme="1"/>
        <rFont val="Calibri"/>
        <family val="2"/>
        <scheme val="minor"/>
      </rPr>
      <t xml:space="preserve"> Sort A to Z (ascending) or Sort Z to A (descending).
For numbers, this means smallest to largest or largest to smallest.</t>
    </r>
  </si>
  <si>
    <r>
      <rPr>
        <b/>
        <sz val="11"/>
        <color theme="1"/>
        <rFont val="Calibri"/>
        <family val="2"/>
        <scheme val="minor"/>
      </rPr>
      <t>Filtering Data -:</t>
    </r>
    <r>
      <rPr>
        <sz val="11"/>
        <color theme="1"/>
        <rFont val="Calibri"/>
        <family val="2"/>
        <scheme val="minor"/>
      </rPr>
      <t xml:space="preserve">
</t>
    </r>
    <r>
      <rPr>
        <b/>
        <sz val="11"/>
        <color theme="1"/>
        <rFont val="Calibri"/>
        <family val="2"/>
        <scheme val="minor"/>
      </rPr>
      <t>1. Select Your Data</t>
    </r>
    <r>
      <rPr>
        <sz val="11"/>
        <color theme="1"/>
        <rFont val="Calibri"/>
        <family val="2"/>
        <scheme val="minor"/>
      </rPr>
      <t xml:space="preserve">
</t>
    </r>
    <r>
      <rPr>
        <b/>
        <sz val="11"/>
        <color theme="1"/>
        <rFont val="Calibri"/>
        <family val="2"/>
        <scheme val="minor"/>
      </rPr>
      <t xml:space="preserve">Click </t>
    </r>
    <r>
      <rPr>
        <sz val="11"/>
        <color theme="1"/>
        <rFont val="Calibri"/>
        <family val="2"/>
        <scheme val="minor"/>
      </rPr>
      <t xml:space="preserve">anywhere inside your dataset.
</t>
    </r>
    <r>
      <rPr>
        <b/>
        <sz val="11"/>
        <color theme="1"/>
        <rFont val="Calibri"/>
        <family val="2"/>
        <scheme val="minor"/>
      </rPr>
      <t>2. Turn On Filters</t>
    </r>
    <r>
      <rPr>
        <sz val="11"/>
        <color theme="1"/>
        <rFont val="Calibri"/>
        <family val="2"/>
        <scheme val="minor"/>
      </rPr>
      <t xml:space="preserve">
Go to the Home tab → Sort &amp; Filter → choose Filter.
Small drop-down arrows will appear next to your column headers.
</t>
    </r>
    <r>
      <rPr>
        <b/>
        <sz val="11"/>
        <color theme="1"/>
        <rFont val="Calibri"/>
        <family val="2"/>
        <scheme val="minor"/>
      </rPr>
      <t>3.Apply a Filter</t>
    </r>
    <r>
      <rPr>
        <sz val="11"/>
        <color theme="1"/>
        <rFont val="Calibri"/>
        <family val="2"/>
        <scheme val="minor"/>
      </rPr>
      <t xml:space="preserve">
</t>
    </r>
    <r>
      <rPr>
        <b/>
        <sz val="11"/>
        <color theme="1"/>
        <rFont val="Calibri"/>
        <family val="2"/>
        <scheme val="minor"/>
      </rPr>
      <t>Click</t>
    </r>
    <r>
      <rPr>
        <sz val="11"/>
        <color theme="1"/>
        <rFont val="Calibri"/>
        <family val="2"/>
        <scheme val="minor"/>
      </rPr>
      <t xml:space="preserve"> the arrow next to the column you want to filter (e.g., Sales).
Choose specific values, or use Number Filters → Greater Than…, and enter a number (e.g., 100).
</t>
    </r>
    <r>
      <rPr>
        <b/>
        <sz val="11"/>
        <color theme="1"/>
        <rFont val="Calibri"/>
        <family val="2"/>
        <scheme val="minor"/>
      </rPr>
      <t>4. View the Results</t>
    </r>
    <r>
      <rPr>
        <sz val="11"/>
        <color theme="1"/>
        <rFont val="Calibri"/>
        <family val="2"/>
        <scheme val="minor"/>
      </rPr>
      <t xml:space="preserve">
Excel will now display only the rows that meet your filter criteria.</t>
    </r>
  </si>
  <si>
    <t>Jan</t>
  </si>
  <si>
    <t>Feb</t>
  </si>
  <si>
    <t>Mar</t>
  </si>
  <si>
    <t>Apr</t>
  </si>
  <si>
    <t>May</t>
  </si>
  <si>
    <t>Jun</t>
  </si>
  <si>
    <t>Months</t>
  </si>
  <si>
    <t xml:space="preserve"> Total Sales</t>
  </si>
  <si>
    <t>5. Create a PivotChart showing Monthly Sales Trend.</t>
  </si>
  <si>
    <t>6. Use a Slicer to filter data by Product and observe changes in sales.</t>
  </si>
  <si>
    <t>7. Why are Dashboards important for decision-making in business analysis?</t>
  </si>
  <si>
    <r>
      <rPr>
        <b/>
        <u/>
        <sz val="11"/>
        <color theme="1"/>
        <rFont val="Calibri"/>
        <family val="2"/>
        <scheme val="minor"/>
      </rPr>
      <t>Importance of Dashboards in Business Decision-Making -:</t>
    </r>
    <r>
      <rPr>
        <sz val="11"/>
        <color theme="1"/>
        <rFont val="Calibri"/>
        <family val="2"/>
        <scheme val="minor"/>
      </rPr>
      <t xml:space="preserve">
</t>
    </r>
    <r>
      <rPr>
        <b/>
        <sz val="11"/>
        <color theme="1"/>
        <rFont val="Calibri"/>
        <family val="2"/>
        <scheme val="minor"/>
      </rPr>
      <t>1.Real-Time Insights</t>
    </r>
    <r>
      <rPr>
        <sz val="11"/>
        <color theme="1"/>
        <rFont val="Calibri"/>
        <family val="2"/>
        <scheme val="minor"/>
      </rPr>
      <t xml:space="preserve">
Dashboards show up-to-date data, helping managers make quick and informed decisions.
</t>
    </r>
    <r>
      <rPr>
        <b/>
        <sz val="11"/>
        <color theme="1"/>
        <rFont val="Calibri"/>
        <family val="2"/>
        <scheme val="minor"/>
      </rPr>
      <t>2.Data-Driven Decisions</t>
    </r>
    <r>
      <rPr>
        <sz val="11"/>
        <color theme="1"/>
        <rFont val="Calibri"/>
        <family val="2"/>
        <scheme val="minor"/>
      </rPr>
      <t xml:space="preserve">
They replace guesswork with clear, measurable information.
</t>
    </r>
    <r>
      <rPr>
        <b/>
        <sz val="11"/>
        <color theme="1"/>
        <rFont val="Calibri"/>
        <family val="2"/>
        <scheme val="minor"/>
      </rPr>
      <t>3.Simplify Complex Data</t>
    </r>
    <r>
      <rPr>
        <sz val="11"/>
        <color theme="1"/>
        <rFont val="Calibri"/>
        <family val="2"/>
        <scheme val="minor"/>
      </rPr>
      <t xml:space="preserve">
Visual charts and summaries make large amounts of data easy to understand.
</t>
    </r>
    <r>
      <rPr>
        <b/>
        <sz val="11"/>
        <color theme="1"/>
        <rFont val="Calibri"/>
        <family val="2"/>
        <scheme val="minor"/>
      </rPr>
      <t>4.Performance Tracking</t>
    </r>
    <r>
      <rPr>
        <sz val="11"/>
        <color theme="1"/>
        <rFont val="Calibri"/>
        <family val="2"/>
        <scheme val="minor"/>
      </rPr>
      <t xml:space="preserve">
Dashboards highlight key metrics (KPIs) so teams can monitor progress and goals.
</t>
    </r>
    <r>
      <rPr>
        <b/>
        <sz val="11"/>
        <color theme="1"/>
        <rFont val="Calibri"/>
        <family val="2"/>
        <scheme val="minor"/>
      </rPr>
      <t>5.Better Planning</t>
    </r>
    <r>
      <rPr>
        <sz val="11"/>
        <color theme="1"/>
        <rFont val="Calibri"/>
        <family val="2"/>
        <scheme val="minor"/>
      </rPr>
      <t xml:space="preserve">
By showing trends over time, dashboards support strategic and long-term planning.
</t>
    </r>
    <r>
      <rPr>
        <b/>
        <sz val="11"/>
        <color theme="1"/>
        <rFont val="Calibri"/>
        <family val="2"/>
        <scheme val="minor"/>
      </rPr>
      <t>6.Improved Communication</t>
    </r>
    <r>
      <rPr>
        <sz val="11"/>
        <color theme="1"/>
        <rFont val="Calibri"/>
        <family val="2"/>
        <scheme val="minor"/>
      </rPr>
      <t xml:space="preserve">
Everyone sees the same information, promoting transparency and collaboration.</t>
    </r>
  </si>
  <si>
    <t xml:space="preserve"> 8.Create a Dashboard that includes:</t>
  </si>
  <si>
    <t xml:space="preserve"> -Sales by Region (PivotTable + Chart)</t>
  </si>
  <si>
    <t xml:space="preserve">  -Product Filter (Slicer)</t>
  </si>
  <si>
    <t xml:space="preserve">  -Monthly Trend (Line Chart)</t>
  </si>
  <si>
    <t>Average Sales</t>
  </si>
  <si>
    <t>9. Group dates in the PivotTable into Months and calculate the average sales per month.</t>
  </si>
  <si>
    <r>
      <rPr>
        <b/>
        <sz val="11"/>
        <color theme="1"/>
        <rFont val="Calibri"/>
        <family val="2"/>
        <scheme val="minor"/>
      </rPr>
      <t>1)Create a PivotTable from your sales data</t>
    </r>
    <r>
      <rPr>
        <sz val="11"/>
        <color theme="1"/>
        <rFont val="Calibri"/>
        <family val="2"/>
        <scheme val="minor"/>
      </rPr>
      <t xml:space="preserve">
- Put</t>
    </r>
    <r>
      <rPr>
        <b/>
        <sz val="11"/>
        <color theme="1"/>
        <rFont val="Calibri"/>
        <family val="2"/>
        <scheme val="minor"/>
      </rPr>
      <t xml:space="preserve"> Date</t>
    </r>
    <r>
      <rPr>
        <sz val="11"/>
        <color theme="1"/>
        <rFont val="Calibri"/>
        <family val="2"/>
        <scheme val="minor"/>
      </rPr>
      <t xml:space="preserve"> in </t>
    </r>
    <r>
      <rPr>
        <b/>
        <sz val="11"/>
        <color theme="1"/>
        <rFont val="Calibri"/>
        <family val="2"/>
        <scheme val="minor"/>
      </rPr>
      <t>Rows.</t>
    </r>
    <r>
      <rPr>
        <sz val="11"/>
        <color theme="1"/>
        <rFont val="Calibri"/>
        <family val="2"/>
        <scheme val="minor"/>
      </rPr>
      <t xml:space="preserve">
- Put </t>
    </r>
    <r>
      <rPr>
        <b/>
        <sz val="11"/>
        <color theme="1"/>
        <rFont val="Calibri"/>
        <family val="2"/>
        <scheme val="minor"/>
      </rPr>
      <t>Sales</t>
    </r>
    <r>
      <rPr>
        <sz val="11"/>
        <color theme="1"/>
        <rFont val="Calibri"/>
        <family val="2"/>
        <scheme val="minor"/>
      </rPr>
      <t xml:space="preserve"> in </t>
    </r>
    <r>
      <rPr>
        <b/>
        <sz val="11"/>
        <color theme="1"/>
        <rFont val="Calibri"/>
        <family val="2"/>
        <scheme val="minor"/>
      </rPr>
      <t>Values.</t>
    </r>
    <r>
      <rPr>
        <sz val="11"/>
        <color theme="1"/>
        <rFont val="Calibri"/>
        <family val="2"/>
        <scheme val="minor"/>
      </rPr>
      <t xml:space="preserve">
</t>
    </r>
    <r>
      <rPr>
        <b/>
        <sz val="11"/>
        <color theme="1"/>
        <rFont val="Calibri"/>
        <family val="2"/>
        <scheme val="minor"/>
      </rPr>
      <t>2)Group the Dates by Month:</t>
    </r>
    <r>
      <rPr>
        <sz val="11"/>
        <color theme="1"/>
        <rFont val="Calibri"/>
        <family val="2"/>
        <scheme val="minor"/>
      </rPr>
      <t xml:space="preserve">
- </t>
    </r>
    <r>
      <rPr>
        <b/>
        <sz val="11"/>
        <color theme="1"/>
        <rFont val="Calibri"/>
        <family val="2"/>
        <scheme val="minor"/>
      </rPr>
      <t>Right-click any date</t>
    </r>
    <r>
      <rPr>
        <sz val="11"/>
        <color theme="1"/>
        <rFont val="Calibri"/>
        <family val="2"/>
        <scheme val="minor"/>
      </rPr>
      <t xml:space="preserve"> in the PivotTable →</t>
    </r>
    <r>
      <rPr>
        <b/>
        <sz val="11"/>
        <color theme="1"/>
        <rFont val="Calibri"/>
        <family val="2"/>
        <scheme val="minor"/>
      </rPr>
      <t xml:space="preserve"> Group…</t>
    </r>
    <r>
      <rPr>
        <sz val="11"/>
        <color theme="1"/>
        <rFont val="Calibri"/>
        <family val="2"/>
        <scheme val="minor"/>
      </rPr>
      <t xml:space="preserve"> → </t>
    </r>
    <r>
      <rPr>
        <b/>
        <sz val="11"/>
        <color theme="1"/>
        <rFont val="Calibri"/>
        <family val="2"/>
        <scheme val="minor"/>
      </rPr>
      <t>select Months</t>
    </r>
    <r>
      <rPr>
        <sz val="11"/>
        <color theme="1"/>
        <rFont val="Calibri"/>
        <family val="2"/>
        <scheme val="minor"/>
      </rPr>
      <t xml:space="preserve"> →</t>
    </r>
    <r>
      <rPr>
        <b/>
        <sz val="11"/>
        <color theme="1"/>
        <rFont val="Calibri"/>
        <family val="2"/>
        <scheme val="minor"/>
      </rPr>
      <t xml:space="preserve"> OK</t>
    </r>
    <r>
      <rPr>
        <sz val="11"/>
        <color theme="1"/>
        <rFont val="Calibri"/>
        <family val="2"/>
        <scheme val="minor"/>
      </rPr>
      <t xml:space="preserve">.
</t>
    </r>
    <r>
      <rPr>
        <b/>
        <sz val="11"/>
        <color theme="1"/>
        <rFont val="Calibri"/>
        <family val="2"/>
        <scheme val="minor"/>
      </rPr>
      <t>3)Calculate Average Sales:</t>
    </r>
    <r>
      <rPr>
        <sz val="11"/>
        <color theme="1"/>
        <rFont val="Calibri"/>
        <family val="2"/>
        <scheme val="minor"/>
      </rPr>
      <t xml:space="preserve">
- </t>
    </r>
    <r>
      <rPr>
        <b/>
        <sz val="11"/>
        <color theme="1"/>
        <rFont val="Calibri"/>
        <family val="2"/>
        <scheme val="minor"/>
      </rPr>
      <t>Right-click the Sales values</t>
    </r>
    <r>
      <rPr>
        <sz val="11"/>
        <color theme="1"/>
        <rFont val="Calibri"/>
        <family val="2"/>
        <scheme val="minor"/>
      </rPr>
      <t xml:space="preserve"> →</t>
    </r>
    <r>
      <rPr>
        <b/>
        <sz val="11"/>
        <color theme="1"/>
        <rFont val="Calibri"/>
        <family val="2"/>
        <scheme val="minor"/>
      </rPr>
      <t xml:space="preserve"> Summarize Values By</t>
    </r>
    <r>
      <rPr>
        <sz val="11"/>
        <color theme="1"/>
        <rFont val="Calibri"/>
        <family val="2"/>
        <scheme val="minor"/>
      </rPr>
      <t xml:space="preserve"> →</t>
    </r>
    <r>
      <rPr>
        <b/>
        <sz val="11"/>
        <color theme="1"/>
        <rFont val="Calibri"/>
        <family val="2"/>
        <scheme val="minor"/>
      </rPr>
      <t xml:space="preserve"> Average.</t>
    </r>
    <r>
      <rPr>
        <sz val="11"/>
        <color theme="1"/>
        <rFont val="Calibri"/>
        <family val="2"/>
        <scheme val="minor"/>
      </rPr>
      <t xml:space="preserve">
Then, Format the numbers for clarity (Currency or Number with 2 decimals).</t>
    </r>
  </si>
  <si>
    <t>Category</t>
  </si>
  <si>
    <t>Fruits</t>
  </si>
  <si>
    <t>10.Combine Apples and Oranges into one group called Fruits and compare its sales with other products.</t>
  </si>
  <si>
    <t>Create a category column which will group both Apple and Orange as "Fruits". Then create a pivot table by dragging category to rows and sales to values.Without creating category column we cannot group it because PivotTables alone cannot group non-contiguous items (like “Apples” and “Oranges” that aren’t next to each other in the source table) without a helper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</si>
</sst>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7" tint="-0.249977111117893"/>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top"/>
    </xf>
    <xf numFmtId="14" fontId="0" fillId="0" borderId="0" xfId="0" applyNumberFormat="1" applyAlignment="1">
      <alignment horizontal="center"/>
    </xf>
    <xf numFmtId="0" fontId="0" fillId="0" borderId="0" xfId="0" applyAlignment="1">
      <alignment horizontal="center"/>
    </xf>
    <xf numFmtId="0" fontId="1" fillId="0" borderId="0" xfId="0" applyFont="1"/>
    <xf numFmtId="0" fontId="1" fillId="0" borderId="0" xfId="0" applyFont="1" applyAlignment="1">
      <alignment horizontal="right"/>
    </xf>
    <xf numFmtId="0" fontId="0" fillId="0" borderId="0" xfId="0" applyAlignment="1">
      <alignment horizontal="left"/>
    </xf>
    <xf numFmtId="0" fontId="0" fillId="0" borderId="0" xfId="0" pivotButton="1"/>
    <xf numFmtId="164" fontId="0" fillId="0" borderId="0" xfId="0" applyNumberFormat="1"/>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0" fillId="0" borderId="5"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5" xfId="0" applyBorder="1" applyAlignment="1">
      <alignment horizontal="left" wrapText="1"/>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0" xfId="0"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vertical="center" wrapText="1"/>
    </xf>
    <xf numFmtId="0" fontId="1" fillId="0" borderId="5"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0"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0" fillId="2" borderId="0" xfId="0" applyFill="1" applyAlignment="1">
      <alignment horizontal="center"/>
    </xf>
    <xf numFmtId="0" fontId="0" fillId="0" borderId="0" xfId="0" applyBorder="1" applyAlignment="1">
      <alignment horizontal="left" vertical="center"/>
    </xf>
    <xf numFmtId="0" fontId="1" fillId="0" borderId="1" xfId="0" applyFont="1" applyFill="1" applyBorder="1" applyAlignment="1">
      <alignment horizontal="center" vertical="top"/>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right"/>
    </xf>
  </cellXfs>
  <cellStyles count="1">
    <cellStyle name="Normal" xfId="0" builtinId="0"/>
  </cellStyles>
  <dxfs count="38">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color rgb="FF9C0006"/>
      </font>
      <fill>
        <patternFill>
          <bgColor rgb="FFFFC7CE"/>
        </patternFill>
      </fill>
    </dxf>
    <dxf>
      <font>
        <b/>
        <i val="0"/>
        <color theme="2" tint="-0.89996032593768116"/>
      </font>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9" defaultPivotStyle="PivotStyleLight16"/>
  <colors>
    <mruColors>
      <color rgb="FF558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 SOUMYAPW.xlsx]QUESTION 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Narrow" panose="020B0004020202020204" pitchFamily="34" charset="0"/>
                <a:ea typeface="+mn-ea"/>
                <a:cs typeface="+mn-cs"/>
              </a:defRPr>
            </a:pPr>
            <a:r>
              <a:rPr lang="en-US">
                <a:latin typeface="Aptos Narrow" panose="020B0004020202020204" pitchFamily="34" charset="0"/>
              </a:rPr>
              <a:t>Monthly</a:t>
            </a:r>
            <a:r>
              <a:rPr lang="en-US" baseline="0">
                <a:latin typeface="Aptos Narrow" panose="020B0004020202020204" pitchFamily="34" charset="0"/>
              </a:rPr>
              <a:t> Sales Trend</a:t>
            </a:r>
            <a:endParaRPr lang="en-US">
              <a:latin typeface="Aptos Narrow" panose="020B0004020202020204" pitchFamily="34" charset="0"/>
            </a:endParaRP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Narrow" panose="020B0004020202020204" pitchFamily="34"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5'!$A$4:$A$10</c:f>
              <c:strCache>
                <c:ptCount val="6"/>
                <c:pt idx="0">
                  <c:v>Jan</c:v>
                </c:pt>
                <c:pt idx="1">
                  <c:v>Feb</c:v>
                </c:pt>
                <c:pt idx="2">
                  <c:v>Mar</c:v>
                </c:pt>
                <c:pt idx="3">
                  <c:v>Apr</c:v>
                </c:pt>
                <c:pt idx="4">
                  <c:v>May</c:v>
                </c:pt>
                <c:pt idx="5">
                  <c:v>Jun</c:v>
                </c:pt>
              </c:strCache>
            </c:strRef>
          </c:cat>
          <c:val>
            <c:numRef>
              <c:f>'QUESTION 5'!$B$4:$B$10</c:f>
              <c:numCache>
                <c:formatCode>"₹"\ #,##0.00</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87B3-4146-BF14-7DC052D090E8}"/>
            </c:ext>
          </c:extLst>
        </c:ser>
        <c:dLbls>
          <c:dLblPos val="inEnd"/>
          <c:showLegendKey val="0"/>
          <c:showVal val="1"/>
          <c:showCatName val="0"/>
          <c:showSerName val="0"/>
          <c:showPercent val="0"/>
          <c:showBubbleSize val="0"/>
        </c:dLbls>
        <c:gapWidth val="100"/>
        <c:overlap val="-24"/>
        <c:axId val="1892395056"/>
        <c:axId val="1892397456"/>
      </c:barChart>
      <c:catAx>
        <c:axId val="1892395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397456"/>
        <c:crosses val="autoZero"/>
        <c:auto val="1"/>
        <c:lblAlgn val="ctr"/>
        <c:lblOffset val="100"/>
        <c:noMultiLvlLbl val="0"/>
      </c:catAx>
      <c:valAx>
        <c:axId val="189239745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3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 SOUMYAPW.xlsx]QUESTION 6!PivotTable3</c:name>
    <c:fmtId val="0"/>
  </c:pivotSource>
  <c:chart>
    <c:title>
      <c:tx>
        <c:rich>
          <a:bodyPr rot="0" spcFirstLastPara="1" vertOverflow="ellipsis" vert="horz" wrap="square" anchor="ctr" anchorCtr="1"/>
          <a:lstStyle/>
          <a:p>
            <a:pPr>
              <a:defRPr b="0" i="0" u="none" strike="noStrike" kern="1200" baseline="0">
                <a:solidFill>
                  <a:schemeClr val="bg1">
                    <a:lumMod val="95000"/>
                  </a:schemeClr>
                </a:solidFill>
                <a:effectLst/>
                <a:latin typeface="+mn-lt"/>
                <a:ea typeface="+mn-ea"/>
                <a:cs typeface="+mn-cs"/>
              </a:defRPr>
            </a:pPr>
            <a:r>
              <a:rPr lang="en-US">
                <a:solidFill>
                  <a:schemeClr val="bg1">
                    <a:lumMod val="95000"/>
                  </a:schemeClr>
                </a:solidFill>
              </a:rPr>
              <a:t>Total Sales Trend By Product</a:t>
            </a:r>
          </a:p>
        </c:rich>
      </c:tx>
      <c:overlay val="0"/>
      <c:spPr>
        <a:solidFill>
          <a:srgbClr val="558ED5"/>
        </a:solidFill>
        <a:ln>
          <a:noFill/>
        </a:ln>
        <a:effectLst/>
      </c:spPr>
      <c:txPr>
        <a:bodyPr rot="0" spcFirstLastPara="1" vertOverflow="ellipsis" vert="horz" wrap="square" anchor="ctr" anchorCtr="1"/>
        <a:lstStyle/>
        <a:p>
          <a:pPr>
            <a:defRPr b="0" i="0" u="none" strike="noStrike" kern="1200" baseline="0">
              <a:solidFill>
                <a:schemeClr val="bg1">
                  <a:lumMod val="9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32888597258677"/>
          <c:w val="0.93888888888888888"/>
          <c:h val="0.69827172645086033"/>
        </c:manualLayout>
      </c:layout>
      <c:barChart>
        <c:barDir val="col"/>
        <c:grouping val="clustered"/>
        <c:varyColors val="0"/>
        <c:ser>
          <c:idx val="0"/>
          <c:order val="0"/>
          <c:tx>
            <c:strRef>
              <c:f>'QUESTION 6'!$B$3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6'!$A$4:$A$10</c:f>
              <c:strCache>
                <c:ptCount val="6"/>
                <c:pt idx="0">
                  <c:v>Jan</c:v>
                </c:pt>
                <c:pt idx="1">
                  <c:v>Feb</c:v>
                </c:pt>
                <c:pt idx="2">
                  <c:v>Mar</c:v>
                </c:pt>
                <c:pt idx="3">
                  <c:v>Apr</c:v>
                </c:pt>
                <c:pt idx="4">
                  <c:v>May</c:v>
                </c:pt>
                <c:pt idx="5">
                  <c:v>Jun</c:v>
                </c:pt>
              </c:strCache>
            </c:strRef>
          </c:cat>
          <c:val>
            <c:numRef>
              <c:f>'QUESTION 6'!$B$4:$B$10</c:f>
              <c:numCache>
                <c:formatCode>"₹"\ #,##0.00</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4C3F-4956-8F66-2097AC7C333C}"/>
            </c:ext>
          </c:extLst>
        </c:ser>
        <c:dLbls>
          <c:dLblPos val="inEnd"/>
          <c:showLegendKey val="0"/>
          <c:showVal val="1"/>
          <c:showCatName val="0"/>
          <c:showSerName val="0"/>
          <c:showPercent val="0"/>
          <c:showBubbleSize val="0"/>
        </c:dLbls>
        <c:gapWidth val="41"/>
        <c:axId val="1908344976"/>
        <c:axId val="1908351696"/>
      </c:barChart>
      <c:catAx>
        <c:axId val="190834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08351696"/>
        <c:crosses val="autoZero"/>
        <c:auto val="1"/>
        <c:lblAlgn val="ctr"/>
        <c:lblOffset val="100"/>
        <c:noMultiLvlLbl val="0"/>
      </c:catAx>
      <c:valAx>
        <c:axId val="1908351696"/>
        <c:scaling>
          <c:orientation val="minMax"/>
        </c:scaling>
        <c:delete val="1"/>
        <c:axPos val="l"/>
        <c:numFmt formatCode="&quot;₹&quot;\ #,##0.00" sourceLinked="1"/>
        <c:majorTickMark val="none"/>
        <c:minorTickMark val="none"/>
        <c:tickLblPos val="nextTo"/>
        <c:crossAx val="190834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 SOUMYAPW.xlsx]QUESTION 8!PivotTable6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a:t>SALES</a:t>
            </a:r>
            <a:r>
              <a:rPr lang="en-IN" sz="1600" baseline="0"/>
              <a:t> BY REGION</a:t>
            </a:r>
            <a:endParaRPr lang="en-IN" sz="1600"/>
          </a:p>
        </c:rich>
      </c:tx>
      <c:layout>
        <c:manualLayout>
          <c:xMode val="edge"/>
          <c:yMode val="edge"/>
          <c:x val="0.31864694797765664"/>
          <c:y val="2.52274621179911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6426071741032"/>
          <c:y val="0.20772929425488482"/>
          <c:w val="0.74937270341207352"/>
          <c:h val="0.59329943132108487"/>
        </c:manualLayout>
      </c:layout>
      <c:barChart>
        <c:barDir val="col"/>
        <c:grouping val="clustered"/>
        <c:varyColors val="0"/>
        <c:ser>
          <c:idx val="0"/>
          <c:order val="0"/>
          <c:tx>
            <c:strRef>
              <c:f>'QUESTION 8'!$B$7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'QUESTION 8'!$A$8:$A$11</c:f>
              <c:strCache>
                <c:ptCount val="3"/>
                <c:pt idx="0">
                  <c:v>North</c:v>
                </c:pt>
                <c:pt idx="1">
                  <c:v>South</c:v>
                </c:pt>
                <c:pt idx="2">
                  <c:v>West</c:v>
                </c:pt>
              </c:strCache>
            </c:strRef>
          </c:cat>
          <c:val>
            <c:numRef>
              <c:f>'QUESTION 8'!$B$8:$B$11</c:f>
              <c:numCache>
                <c:formatCode>"₹"\ #,##0.00</c:formatCode>
                <c:ptCount val="3"/>
                <c:pt idx="0">
                  <c:v>347</c:v>
                </c:pt>
                <c:pt idx="1">
                  <c:v>845</c:v>
                </c:pt>
                <c:pt idx="2">
                  <c:v>1311</c:v>
                </c:pt>
              </c:numCache>
            </c:numRef>
          </c:val>
          <c:extLst>
            <c:ext xmlns:c16="http://schemas.microsoft.com/office/drawing/2014/chart" uri="{C3380CC4-5D6E-409C-BE32-E72D297353CC}">
              <c16:uniqueId val="{00000000-30F4-472F-AAA1-6AC86D2C83FF}"/>
            </c:ext>
          </c:extLst>
        </c:ser>
        <c:dLbls>
          <c:dLblPos val="outEnd"/>
          <c:showLegendKey val="0"/>
          <c:showVal val="1"/>
          <c:showCatName val="0"/>
          <c:showSerName val="0"/>
          <c:showPercent val="0"/>
          <c:showBubbleSize val="0"/>
        </c:dLbls>
        <c:gapWidth val="100"/>
        <c:overlap val="-24"/>
        <c:axId val="2103421664"/>
        <c:axId val="2103416864"/>
      </c:barChart>
      <c:catAx>
        <c:axId val="21034216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3416864"/>
        <c:crosses val="autoZero"/>
        <c:auto val="1"/>
        <c:lblAlgn val="ctr"/>
        <c:lblOffset val="100"/>
        <c:noMultiLvlLbl val="0"/>
      </c:catAx>
      <c:valAx>
        <c:axId val="2103416864"/>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342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800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 SOUMYAPW.xlsx]QUESTION 8!PivotTable7</c:name>
    <c:fmtId val="0"/>
  </c:pivotSource>
  <c:chart>
    <c:title>
      <c:tx>
        <c:rich>
          <a:bodyPr rot="0" spcFirstLastPara="1" vertOverflow="ellipsis" vert="horz" wrap="square" anchor="ctr" anchorCtr="1"/>
          <a:lstStyle/>
          <a:p>
            <a:pPr>
              <a:defRPr sz="1600" b="1" i="0" u="none" strike="noStrike" kern="1200" cap="all" spc="100" normalizeH="0" baseline="0">
                <a:solidFill>
                  <a:schemeClr val="accent1">
                    <a:lumMod val="20000"/>
                    <a:lumOff val="80000"/>
                  </a:schemeClr>
                </a:solidFill>
                <a:latin typeface="+mn-lt"/>
                <a:ea typeface="+mn-ea"/>
                <a:cs typeface="+mn-cs"/>
              </a:defRPr>
            </a:pPr>
            <a:r>
              <a:rPr lang="en-US" sz="1600">
                <a:solidFill>
                  <a:schemeClr val="accent1">
                    <a:lumMod val="20000"/>
                    <a:lumOff val="80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accent1">
                  <a:lumMod val="20000"/>
                  <a:lumOff val="80000"/>
                </a:schemeClr>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8'!$B$15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'QUESTION 8'!$A$16:$A$22</c:f>
              <c:strCache>
                <c:ptCount val="6"/>
                <c:pt idx="0">
                  <c:v>Jan</c:v>
                </c:pt>
                <c:pt idx="1">
                  <c:v>Feb</c:v>
                </c:pt>
                <c:pt idx="2">
                  <c:v>Mar</c:v>
                </c:pt>
                <c:pt idx="3">
                  <c:v>Apr</c:v>
                </c:pt>
                <c:pt idx="4">
                  <c:v>May</c:v>
                </c:pt>
                <c:pt idx="5">
                  <c:v>Jun</c:v>
                </c:pt>
              </c:strCache>
            </c:strRef>
          </c:cat>
          <c:val>
            <c:numRef>
              <c:f>'QUESTION 8'!$B$16:$B$22</c:f>
              <c:numCache>
                <c:formatCode>"₹"\ #,##0.00</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0-FA40-4E95-B066-D585149529A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18570272"/>
        <c:axId val="2118564032"/>
      </c:lineChart>
      <c:catAx>
        <c:axId val="211857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18564032"/>
        <c:crosses val="autoZero"/>
        <c:auto val="1"/>
        <c:lblAlgn val="ctr"/>
        <c:lblOffset val="100"/>
        <c:noMultiLvlLbl val="0"/>
      </c:catAx>
      <c:valAx>
        <c:axId val="2118564032"/>
        <c:scaling>
          <c:orientation val="minMax"/>
        </c:scaling>
        <c:delete val="1"/>
        <c:axPos val="l"/>
        <c:numFmt formatCode="&quot;₹&quot;\ #,##0.00" sourceLinked="1"/>
        <c:majorTickMark val="none"/>
        <c:minorTickMark val="none"/>
        <c:tickLblPos val="nextTo"/>
        <c:crossAx val="21185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tx2">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464820</xdr:colOff>
      <xdr:row>4</xdr:row>
      <xdr:rowOff>0</xdr:rowOff>
    </xdr:from>
    <xdr:to>
      <xdr:col>13</xdr:col>
      <xdr:colOff>563880</xdr:colOff>
      <xdr:row>21</xdr:row>
      <xdr:rowOff>45720</xdr:rowOff>
    </xdr:to>
    <xdr:graphicFrame macro="">
      <xdr:nvGraphicFramePr>
        <xdr:cNvPr id="2" name="Chart 1">
          <a:extLst>
            <a:ext uri="{FF2B5EF4-FFF2-40B4-BE49-F238E27FC236}">
              <a16:creationId xmlns:a16="http://schemas.microsoft.com/office/drawing/2014/main" id="{40114FAF-A54F-4087-A6B1-C9B7EA833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8</xdr:row>
      <xdr:rowOff>137160</xdr:rowOff>
    </xdr:from>
    <xdr:to>
      <xdr:col>10</xdr:col>
      <xdr:colOff>480060</xdr:colOff>
      <xdr:row>24</xdr:row>
      <xdr:rowOff>49530</xdr:rowOff>
    </xdr:to>
    <xdr:graphicFrame macro="">
      <xdr:nvGraphicFramePr>
        <xdr:cNvPr id="2" name="Chart 1">
          <a:extLst>
            <a:ext uri="{FF2B5EF4-FFF2-40B4-BE49-F238E27FC236}">
              <a16:creationId xmlns:a16="http://schemas.microsoft.com/office/drawing/2014/main" id="{7E8CE3F0-81AB-49AF-86FC-4325D4C15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297180</xdr:colOff>
      <xdr:row>9</xdr:row>
      <xdr:rowOff>30481</xdr:rowOff>
    </xdr:from>
    <xdr:to>
      <xdr:col>14</xdr:col>
      <xdr:colOff>297180</xdr:colOff>
      <xdr:row>16</xdr:row>
      <xdr:rowOff>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2A5BEE81-70BE-5596-24B2-F747DEB1F7C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00900" y="169164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205740</xdr:colOff>
      <xdr:row>10</xdr:row>
      <xdr:rowOff>167640</xdr:rowOff>
    </xdr:from>
    <xdr:to>
      <xdr:col>11</xdr:col>
      <xdr:colOff>434340</xdr:colOff>
      <xdr:row>24</xdr:row>
      <xdr:rowOff>49530</xdr:rowOff>
    </xdr:to>
    <xdr:graphicFrame macro="">
      <xdr:nvGraphicFramePr>
        <xdr:cNvPr id="2" name="Chart 1">
          <a:extLst>
            <a:ext uri="{FF2B5EF4-FFF2-40B4-BE49-F238E27FC236}">
              <a16:creationId xmlns:a16="http://schemas.microsoft.com/office/drawing/2014/main" id="{A16DD947-11CC-774D-47D4-977E526C6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10</xdr:row>
      <xdr:rowOff>175260</xdr:rowOff>
    </xdr:from>
    <xdr:to>
      <xdr:col>18</xdr:col>
      <xdr:colOff>396240</xdr:colOff>
      <xdr:row>24</xdr:row>
      <xdr:rowOff>30480</xdr:rowOff>
    </xdr:to>
    <xdr:graphicFrame macro="">
      <xdr:nvGraphicFramePr>
        <xdr:cNvPr id="3" name="Chart 2">
          <a:extLst>
            <a:ext uri="{FF2B5EF4-FFF2-40B4-BE49-F238E27FC236}">
              <a16:creationId xmlns:a16="http://schemas.microsoft.com/office/drawing/2014/main" id="{9FC8C520-73D4-B2DC-B94F-D032AB3D0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198120</xdr:colOff>
      <xdr:row>4</xdr:row>
      <xdr:rowOff>121921</xdr:rowOff>
    </xdr:from>
    <xdr:to>
      <xdr:col>8</xdr:col>
      <xdr:colOff>198120</xdr:colOff>
      <xdr:row>10</xdr:row>
      <xdr:rowOff>121921</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97AB63F1-D291-5ACC-D950-925E8548585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444240" y="86106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121920</xdr:colOff>
      <xdr:row>2</xdr:row>
      <xdr:rowOff>121920</xdr:rowOff>
    </xdr:from>
    <xdr:to>
      <xdr:col>14</xdr:col>
      <xdr:colOff>266700</xdr:colOff>
      <xdr:row>4</xdr:row>
      <xdr:rowOff>129540</xdr:rowOff>
    </xdr:to>
    <xdr:sp macro="" textlink="">
      <xdr:nvSpPr>
        <xdr:cNvPr id="5" name="Rectangle 4">
          <a:extLst>
            <a:ext uri="{FF2B5EF4-FFF2-40B4-BE49-F238E27FC236}">
              <a16:creationId xmlns:a16="http://schemas.microsoft.com/office/drawing/2014/main" id="{F1455BF3-3735-1DB8-3338-EE475418E606}"/>
            </a:ext>
          </a:extLst>
        </xdr:cNvPr>
        <xdr:cNvSpPr/>
      </xdr:nvSpPr>
      <xdr:spPr>
        <a:xfrm>
          <a:off x="5806440" y="495300"/>
          <a:ext cx="3192780" cy="3733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 COMPANY</a:t>
          </a:r>
          <a:r>
            <a:rPr lang="en-IN" sz="1800" b="1" baseline="0">
              <a:solidFill>
                <a:schemeClr val="accent1">
                  <a:lumMod val="50000"/>
                </a:schemeClr>
              </a:solidFill>
            </a:rPr>
            <a:t> SALES DASHBOARD</a:t>
          </a:r>
          <a:endParaRPr lang="en-IN" sz="180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khosla" refreshedDate="45972.649235300923" createdVersion="8" refreshedVersion="8" minRefreshableVersion="3" recordCount="20" xr:uid="{AA32641B-441F-4D59-936A-DA92EEB15B5D}">
  <cacheSource type="worksheet">
    <worksheetSource ref="A1:E21" sheet="Sheet1"/>
  </cacheSource>
  <cacheFields count="6">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2823043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khosla" refreshedDate="45973.077654513887" createdVersion="8" refreshedVersion="8" minRefreshableVersion="3" recordCount="20" xr:uid="{775C3F75-71D8-4F38-9CF4-853F72605664}">
  <cacheSource type="worksheet">
    <worksheetSource ref="A2:F22" sheet="QUESTION 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Category" numFmtId="0">
      <sharedItems count="2">
        <s v="Mangoes"/>
        <s v="Frui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s v="Mangoes"/>
    <n v="456"/>
    <n v="93"/>
    <x v="0"/>
  </r>
  <r>
    <d v="2024-01-10T12:37:54"/>
    <s v="South"/>
    <s v="Oranges"/>
    <n v="348"/>
    <n v="56"/>
    <x v="1"/>
  </r>
  <r>
    <d v="2024-01-20T01:15:47"/>
    <s v="South"/>
    <s v="Mangoes"/>
    <n v="247"/>
    <n v="76"/>
    <x v="0"/>
  </r>
  <r>
    <d v="2024-01-29T13:53:41"/>
    <s v="West"/>
    <s v="Apples"/>
    <n v="230"/>
    <n v="37"/>
    <x v="1"/>
  </r>
  <r>
    <d v="2024-02-08T02:31:35"/>
    <s v="West"/>
    <s v="Mangoes"/>
    <n v="281"/>
    <n v="50"/>
    <x v="0"/>
  </r>
  <r>
    <d v="2024-02-17T15:09:28"/>
    <s v="West"/>
    <s v="Oranges"/>
    <n v="334"/>
    <n v="52"/>
    <x v="1"/>
  </r>
  <r>
    <d v="2024-02-27T03:47:22"/>
    <s v="South"/>
    <s v="Apples"/>
    <n v="417"/>
    <n v="29"/>
    <x v="1"/>
  </r>
  <r>
    <d v="2024-03-07T16:25:16"/>
    <s v="West"/>
    <s v="Apples"/>
    <n v="441"/>
    <n v="44"/>
    <x v="1"/>
  </r>
  <r>
    <d v="2024-03-17T05:03:09"/>
    <s v="South"/>
    <s v="Mangoes"/>
    <n v="76"/>
    <n v="63"/>
    <x v="0"/>
  </r>
  <r>
    <d v="2024-03-26T17:41:03"/>
    <s v="West"/>
    <s v="Oranges"/>
    <n v="441"/>
    <n v="79"/>
    <x v="1"/>
  </r>
  <r>
    <d v="2024-04-05T06:18:57"/>
    <s v="South"/>
    <s v="Mangoes"/>
    <n v="205"/>
    <n v="23"/>
    <x v="0"/>
  </r>
  <r>
    <d v="2024-04-14T18:56:51"/>
    <s v="West"/>
    <s v="Oranges"/>
    <n v="483"/>
    <n v="97"/>
    <x v="1"/>
  </r>
  <r>
    <d v="2024-04-24T07:34:44"/>
    <s v="East"/>
    <s v="Mangoes"/>
    <n v="467"/>
    <n v="97"/>
    <x v="0"/>
  </r>
  <r>
    <d v="2024-05-03T20:12:38"/>
    <s v="West"/>
    <s v="Mangoes"/>
    <n v="380"/>
    <n v="92"/>
    <x v="0"/>
  </r>
  <r>
    <d v="2024-05-13T08:50:32"/>
    <s v="South"/>
    <s v="Oranges"/>
    <n v="497"/>
    <n v="71"/>
    <x v="1"/>
  </r>
  <r>
    <d v="2024-05-22T21:28:25"/>
    <s v="South"/>
    <s v="Mangoes"/>
    <n v="409"/>
    <n v="81"/>
    <x v="0"/>
  </r>
  <r>
    <d v="2024-06-01T10:06:19"/>
    <s v="West"/>
    <s v="Oranges"/>
    <n v="53"/>
    <n v="45"/>
    <x v="1"/>
  </r>
  <r>
    <d v="2024-06-10T22:44:13"/>
    <s v="West"/>
    <s v="Apples"/>
    <n v="398"/>
    <n v="33"/>
    <x v="1"/>
  </r>
  <r>
    <d v="2024-06-20T11:22:06"/>
    <s v="North"/>
    <s v="Oranges"/>
    <n v="347"/>
    <n v="35"/>
    <x v="1"/>
  </r>
  <r>
    <d v="2024-06-30T00:00:00"/>
    <s v="South"/>
    <s v="Apples"/>
    <n v="319"/>
    <n v="4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AB6A8-A2F1-4E83-900B-C156D25AC31C}"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6">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Total Sales" fld="3" baseField="1" baseItem="0" numFmtId="164"/>
  </dataFields>
  <formats count="2">
    <format dxfId="37">
      <pivotArea collapsedLevelsAreSubtotals="1" fieldPosition="0">
        <references count="1">
          <reference field="1" count="1">
            <x v="0"/>
          </reference>
        </references>
      </pivotArea>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A837C1-DEE9-4DAD-80CA-6B6B5055BE1C}" name="PivotTable1" cacheId="2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 rowHeaderCaption="Months">
  <location ref="A3:B10" firstHeaderRow="1" firstDataRow="1" firstDataCol="1"/>
  <pivotFields count="6">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15">
        <item x="0"/>
        <item sd="0" x="1"/>
        <item sd="0" x="2"/>
        <item sd="0" x="3"/>
        <item sd="0" x="4"/>
        <item sd="0" x="5"/>
        <item sd="0" x="6"/>
        <item x="7"/>
        <item x="8"/>
        <item x="9"/>
        <item x="10"/>
        <item x="11"/>
        <item x="12"/>
        <item x="13"/>
        <item t="default"/>
      </items>
    </pivotField>
  </pivotFields>
  <rowFields count="2">
    <field x="5"/>
    <field x="0"/>
  </rowFields>
  <rowItems count="7">
    <i>
      <x v="1"/>
    </i>
    <i>
      <x v="2"/>
    </i>
    <i>
      <x v="3"/>
    </i>
    <i>
      <x v="4"/>
    </i>
    <i>
      <x v="5"/>
    </i>
    <i>
      <x v="6"/>
    </i>
    <i t="grand">
      <x/>
    </i>
  </rowItems>
  <colItems count="1">
    <i/>
  </colItems>
  <dataFields count="1">
    <dataField name=" Total Sales" fld="3" baseField="6" baseItem="1" numFmtId="164"/>
  </dataFields>
  <formats count="1">
    <format dxfId="3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63BC9-8AA7-42B4-983B-2AB9B63C0393}" name="PivotTable3" cacheId="2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rowHeaderCaption="Months">
  <location ref="A3:B10" firstHeaderRow="1" firstDataRow="1" firstDataCol="1"/>
  <pivotFields count="6">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sd="0" x="1"/>
        <item sd="0" x="2"/>
        <item sd="0" x="3"/>
        <item sd="0" x="4"/>
        <item sd="0" x="5"/>
        <item sd="0" x="6"/>
        <item x="7"/>
        <item x="8"/>
        <item x="9"/>
        <item x="10"/>
        <item x="11"/>
        <item x="12"/>
        <item x="13"/>
        <item t="default"/>
      </items>
    </pivotField>
  </pivotFields>
  <rowFields count="2">
    <field x="5"/>
    <field x="0"/>
  </rowFields>
  <rowItems count="7">
    <i>
      <x v="1"/>
    </i>
    <i>
      <x v="2"/>
    </i>
    <i>
      <x v="3"/>
    </i>
    <i>
      <x v="4"/>
    </i>
    <i>
      <x v="5"/>
    </i>
    <i>
      <x v="6"/>
    </i>
    <i t="grand">
      <x/>
    </i>
  </rowItems>
  <colItems count="1">
    <i/>
  </colItems>
  <dataFields count="1">
    <dataField name="Total Sales" fld="3" baseField="5" baseItem="1" numFmtId="164"/>
  </dataFields>
  <formats count="1">
    <format dxfId="3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FABDB-255C-475A-AFC6-BAD355E4360C}" name="PivotTable7" cacheId="2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rowHeaderCaption="Months">
  <location ref="A15:B22" firstHeaderRow="1" firstDataRow="1" firstDataCol="1"/>
  <pivotFields count="6">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h="1" x="0"/>
        <item x="1"/>
        <item t="default"/>
      </items>
    </pivotField>
    <pivotField dataField="1" showAll="0"/>
    <pivotField showAll="0"/>
    <pivotField axis="axisRow" showAll="0">
      <items count="15">
        <item x="0"/>
        <item sd="0" x="1"/>
        <item sd="0" x="2"/>
        <item sd="0" x="3"/>
        <item sd="0" x="4"/>
        <item sd="0" x="5"/>
        <item sd="0" x="6"/>
        <item x="7"/>
        <item x="8"/>
        <item x="9"/>
        <item x="10"/>
        <item x="11"/>
        <item x="12"/>
        <item x="13"/>
        <item t="default"/>
      </items>
    </pivotField>
  </pivotFields>
  <rowFields count="2">
    <field x="5"/>
    <field x="0"/>
  </rowFields>
  <rowItems count="7">
    <i>
      <x v="1"/>
    </i>
    <i>
      <x v="2"/>
    </i>
    <i>
      <x v="3"/>
    </i>
    <i>
      <x v="4"/>
    </i>
    <i>
      <x v="5"/>
    </i>
    <i>
      <x v="6"/>
    </i>
    <i t="grand">
      <x/>
    </i>
  </rowItems>
  <colItems count="1">
    <i/>
  </colItems>
  <dataFields count="1">
    <dataField name="Total Sales" fld="3" baseField="5" baseItem="1" numFmtId="164"/>
  </dataFields>
  <formats count="1">
    <format dxfId="3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649EB8-BB8A-4274-9227-DB6F04A6C0B6}"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7:B11" firstHeaderRow="1" firstDataRow="1" firstDataCol="1"/>
  <pivotFields count="6">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h="1"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4">
    <i>
      <x v="1"/>
    </i>
    <i>
      <x v="2"/>
    </i>
    <i>
      <x v="3"/>
    </i>
    <i t="grand">
      <x/>
    </i>
  </rowItems>
  <colItems count="1">
    <i/>
  </colItems>
  <dataFields count="1">
    <dataField name="Total Sales" fld="3" baseField="1" baseItem="0" numFmtId="164"/>
  </dataFields>
  <formats count="1">
    <format dxfId="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ED3613-6589-4F8B-B07A-682442CB88AD}"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5:B12" firstHeaderRow="1" firstDataRow="1" firstDataCol="1"/>
  <pivotFields count="6">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Sales" fld="3" subtotal="average" baseField="5" baseItem="1"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8B3042-A030-472D-A411-103E43E41D54}"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H2:I5" firstHeaderRow="1" firstDataRow="1" firstDataCol="1"/>
  <pivotFields count="6">
    <pivotField numFmtId="14" showAll="0"/>
    <pivotField showAll="0"/>
    <pivotField showAll="0"/>
    <pivotField dataField="1"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Total Sales" fld="3" baseField="5"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6D6678-64DF-4263-B3E1-243348C3C475}" sourceName="Product">
  <pivotTables>
    <pivotTable tabId="10" name="PivotTable3"/>
  </pivotTables>
  <data>
    <tabular pivotCacheId="128230437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B7965CA-84FB-44D6-9B0B-1E4D1A068338}" sourceName="Product">
  <pivotTables>
    <pivotTable tabId="12" name="PivotTable6"/>
    <pivotTable tabId="12" name="PivotTable7"/>
  </pivotTables>
  <data>
    <tabular pivotCacheId="1282304370">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C6DAB25-4763-4268-8E25-90D347846AD5}" cache="Slicer_Product"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6D751DE-94F9-48D5-B3E1-7C29165E3936}" cache="Slicer_Product1" caption="Product" style="SlicerStyleOther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sqref="A1:E21"/>
    </sheetView>
  </sheetViews>
  <sheetFormatPr defaultRowHeight="14.4" x14ac:dyDescent="0.3"/>
  <cols>
    <col min="1" max="1" width="12.77734375" customWidth="1"/>
  </cols>
  <sheetData>
    <row r="1" spans="1:5" x14ac:dyDescent="0.3">
      <c r="A1" s="1" t="s">
        <v>0</v>
      </c>
      <c r="B1" s="1" t="s">
        <v>1</v>
      </c>
      <c r="C1" s="1" t="s">
        <v>2</v>
      </c>
      <c r="D1" s="1" t="s">
        <v>3</v>
      </c>
      <c r="E1" s="1" t="s">
        <v>4</v>
      </c>
    </row>
    <row r="2" spans="1:5" x14ac:dyDescent="0.3">
      <c r="A2" s="2">
        <v>45292</v>
      </c>
      <c r="B2" s="3" t="s">
        <v>5</v>
      </c>
      <c r="C2" s="3" t="s">
        <v>9</v>
      </c>
      <c r="D2" s="3">
        <v>456</v>
      </c>
      <c r="E2" s="3">
        <v>93</v>
      </c>
    </row>
    <row r="3" spans="1:5" x14ac:dyDescent="0.3">
      <c r="A3" s="2">
        <v>45301.526315789473</v>
      </c>
      <c r="B3" s="3" t="s">
        <v>6</v>
      </c>
      <c r="C3" s="3" t="s">
        <v>10</v>
      </c>
      <c r="D3" s="3">
        <v>348</v>
      </c>
      <c r="E3" s="3">
        <v>56</v>
      </c>
    </row>
    <row r="4" spans="1:5" x14ac:dyDescent="0.3">
      <c r="A4" s="2">
        <v>45311.052631578947</v>
      </c>
      <c r="B4" s="3" t="s">
        <v>6</v>
      </c>
      <c r="C4" s="3" t="s">
        <v>9</v>
      </c>
      <c r="D4" s="3">
        <v>247</v>
      </c>
      <c r="E4" s="3">
        <v>76</v>
      </c>
    </row>
    <row r="5" spans="1:5" x14ac:dyDescent="0.3">
      <c r="A5" s="2">
        <v>45320.578947368413</v>
      </c>
      <c r="B5" s="3" t="s">
        <v>5</v>
      </c>
      <c r="C5" s="3" t="s">
        <v>11</v>
      </c>
      <c r="D5" s="3">
        <v>230</v>
      </c>
      <c r="E5" s="3">
        <v>37</v>
      </c>
    </row>
    <row r="6" spans="1:5" x14ac:dyDescent="0.3">
      <c r="A6" s="2">
        <v>45330.105263157893</v>
      </c>
      <c r="B6" s="3" t="s">
        <v>5</v>
      </c>
      <c r="C6" s="3" t="s">
        <v>9</v>
      </c>
      <c r="D6" s="3">
        <v>281</v>
      </c>
      <c r="E6" s="3">
        <v>50</v>
      </c>
    </row>
    <row r="7" spans="1:5" x14ac:dyDescent="0.3">
      <c r="A7" s="2">
        <v>45339.631578947359</v>
      </c>
      <c r="B7" s="3" t="s">
        <v>5</v>
      </c>
      <c r="C7" s="3" t="s">
        <v>10</v>
      </c>
      <c r="D7" s="3">
        <v>334</v>
      </c>
      <c r="E7" s="3">
        <v>52</v>
      </c>
    </row>
    <row r="8" spans="1:5" x14ac:dyDescent="0.3">
      <c r="A8" s="2">
        <v>45349.15789473684</v>
      </c>
      <c r="B8" s="3" t="s">
        <v>6</v>
      </c>
      <c r="C8" s="3" t="s">
        <v>11</v>
      </c>
      <c r="D8" s="3">
        <v>417</v>
      </c>
      <c r="E8" s="3">
        <v>29</v>
      </c>
    </row>
    <row r="9" spans="1:5" x14ac:dyDescent="0.3">
      <c r="A9" s="2">
        <v>45358.684210526313</v>
      </c>
      <c r="B9" s="3" t="s">
        <v>5</v>
      </c>
      <c r="C9" s="3" t="s">
        <v>11</v>
      </c>
      <c r="D9" s="3">
        <v>441</v>
      </c>
      <c r="E9" s="3">
        <v>44</v>
      </c>
    </row>
    <row r="10" spans="1:5" x14ac:dyDescent="0.3">
      <c r="A10" s="2">
        <v>45368.210526315786</v>
      </c>
      <c r="B10" s="3" t="s">
        <v>6</v>
      </c>
      <c r="C10" s="3" t="s">
        <v>9</v>
      </c>
      <c r="D10" s="3">
        <v>76</v>
      </c>
      <c r="E10" s="3">
        <v>63</v>
      </c>
    </row>
    <row r="11" spans="1:5" x14ac:dyDescent="0.3">
      <c r="A11" s="2">
        <v>45377.736842105252</v>
      </c>
      <c r="B11" s="3" t="s">
        <v>5</v>
      </c>
      <c r="C11" s="3" t="s">
        <v>10</v>
      </c>
      <c r="D11" s="3">
        <v>441</v>
      </c>
      <c r="E11" s="3">
        <v>79</v>
      </c>
    </row>
    <row r="12" spans="1:5" x14ac:dyDescent="0.3">
      <c r="A12" s="2">
        <v>45387.263157894733</v>
      </c>
      <c r="B12" s="3" t="s">
        <v>6</v>
      </c>
      <c r="C12" s="3" t="s">
        <v>9</v>
      </c>
      <c r="D12" s="3">
        <v>205</v>
      </c>
      <c r="E12" s="3">
        <v>23</v>
      </c>
    </row>
    <row r="13" spans="1:5" x14ac:dyDescent="0.3">
      <c r="A13" s="2">
        <v>45396.789473684199</v>
      </c>
      <c r="B13" s="3" t="s">
        <v>5</v>
      </c>
      <c r="C13" s="3" t="s">
        <v>10</v>
      </c>
      <c r="D13" s="3">
        <v>483</v>
      </c>
      <c r="E13" s="3">
        <v>97</v>
      </c>
    </row>
    <row r="14" spans="1:5" x14ac:dyDescent="0.3">
      <c r="A14" s="2">
        <v>45406.31578947368</v>
      </c>
      <c r="B14" s="3" t="s">
        <v>7</v>
      </c>
      <c r="C14" s="3" t="s">
        <v>9</v>
      </c>
      <c r="D14" s="3">
        <v>467</v>
      </c>
      <c r="E14" s="3">
        <v>97</v>
      </c>
    </row>
    <row r="15" spans="1:5" x14ac:dyDescent="0.3">
      <c r="A15" s="2">
        <v>45415.842105263153</v>
      </c>
      <c r="B15" s="3" t="s">
        <v>5</v>
      </c>
      <c r="C15" s="3" t="s">
        <v>9</v>
      </c>
      <c r="D15" s="3">
        <v>380</v>
      </c>
      <c r="E15" s="3">
        <v>92</v>
      </c>
    </row>
    <row r="16" spans="1:5" x14ac:dyDescent="0.3">
      <c r="A16" s="2">
        <v>45425.368421052633</v>
      </c>
      <c r="B16" s="3" t="s">
        <v>6</v>
      </c>
      <c r="C16" s="3" t="s">
        <v>10</v>
      </c>
      <c r="D16" s="3">
        <v>497</v>
      </c>
      <c r="E16" s="3">
        <v>71</v>
      </c>
    </row>
    <row r="17" spans="1:5" x14ac:dyDescent="0.3">
      <c r="A17" s="2">
        <v>45434.894736842092</v>
      </c>
      <c r="B17" s="3" t="s">
        <v>6</v>
      </c>
      <c r="C17" s="3" t="s">
        <v>9</v>
      </c>
      <c r="D17" s="3">
        <v>409</v>
      </c>
      <c r="E17" s="3">
        <v>81</v>
      </c>
    </row>
    <row r="18" spans="1:5" x14ac:dyDescent="0.3">
      <c r="A18" s="2">
        <v>45444.421052631573</v>
      </c>
      <c r="B18" s="3" t="s">
        <v>5</v>
      </c>
      <c r="C18" s="3" t="s">
        <v>10</v>
      </c>
      <c r="D18" s="3">
        <v>53</v>
      </c>
      <c r="E18" s="3">
        <v>45</v>
      </c>
    </row>
    <row r="19" spans="1:5" x14ac:dyDescent="0.3">
      <c r="A19" s="2">
        <v>45453.947368421039</v>
      </c>
      <c r="B19" s="3" t="s">
        <v>5</v>
      </c>
      <c r="C19" s="3" t="s">
        <v>11</v>
      </c>
      <c r="D19" s="3">
        <v>398</v>
      </c>
      <c r="E19" s="3">
        <v>33</v>
      </c>
    </row>
    <row r="20" spans="1:5" x14ac:dyDescent="0.3">
      <c r="A20" s="2">
        <v>45463.473684210519</v>
      </c>
      <c r="B20" s="3" t="s">
        <v>8</v>
      </c>
      <c r="C20" s="3" t="s">
        <v>10</v>
      </c>
      <c r="D20" s="3">
        <v>347</v>
      </c>
      <c r="E20" s="3">
        <v>35</v>
      </c>
    </row>
    <row r="21" spans="1:5" x14ac:dyDescent="0.3">
      <c r="A21" s="2">
        <v>45473</v>
      </c>
      <c r="B21" s="3" t="s">
        <v>6</v>
      </c>
      <c r="C21" s="3" t="s">
        <v>11</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74E3-E164-4461-89A4-999F31D393B1}">
  <dimension ref="B1:M15"/>
  <sheetViews>
    <sheetView workbookViewId="0">
      <selection activeCell="E17" sqref="E17"/>
    </sheetView>
  </sheetViews>
  <sheetFormatPr defaultRowHeight="14.4" x14ac:dyDescent="0.3"/>
  <sheetData>
    <row r="1" spans="2:13" ht="15" thickBot="1" x14ac:dyDescent="0.35"/>
    <row r="2" spans="2:13" ht="15" thickBot="1" x14ac:dyDescent="0.35">
      <c r="B2" s="9" t="s">
        <v>12</v>
      </c>
      <c r="C2" s="10"/>
      <c r="D2" s="10"/>
      <c r="E2" s="10"/>
      <c r="F2" s="11"/>
    </row>
    <row r="3" spans="2:13" ht="15" thickBot="1" x14ac:dyDescent="0.35"/>
    <row r="4" spans="2:13" ht="14.4" customHeight="1" x14ac:dyDescent="0.3">
      <c r="B4" s="5" t="s">
        <v>13</v>
      </c>
      <c r="C4" s="12" t="s">
        <v>14</v>
      </c>
      <c r="D4" s="13"/>
      <c r="E4" s="13"/>
      <c r="F4" s="13"/>
      <c r="G4" s="13"/>
      <c r="H4" s="13"/>
      <c r="I4" s="13"/>
      <c r="J4" s="13"/>
      <c r="K4" s="13"/>
      <c r="L4" s="13"/>
      <c r="M4" s="14"/>
    </row>
    <row r="5" spans="2:13" x14ac:dyDescent="0.3">
      <c r="C5" s="15"/>
      <c r="D5" s="16"/>
      <c r="E5" s="16"/>
      <c r="F5" s="16"/>
      <c r="G5" s="16"/>
      <c r="H5" s="16"/>
      <c r="I5" s="16"/>
      <c r="J5" s="16"/>
      <c r="K5" s="16"/>
      <c r="L5" s="16"/>
      <c r="M5" s="17"/>
    </row>
    <row r="6" spans="2:13" x14ac:dyDescent="0.3">
      <c r="C6" s="15"/>
      <c r="D6" s="16"/>
      <c r="E6" s="16"/>
      <c r="F6" s="16"/>
      <c r="G6" s="16"/>
      <c r="H6" s="16"/>
      <c r="I6" s="16"/>
      <c r="J6" s="16"/>
      <c r="K6" s="16"/>
      <c r="L6" s="16"/>
      <c r="M6" s="17"/>
    </row>
    <row r="7" spans="2:13" x14ac:dyDescent="0.3">
      <c r="C7" s="15"/>
      <c r="D7" s="16"/>
      <c r="E7" s="16"/>
      <c r="F7" s="16"/>
      <c r="G7" s="16"/>
      <c r="H7" s="16"/>
      <c r="I7" s="16"/>
      <c r="J7" s="16"/>
      <c r="K7" s="16"/>
      <c r="L7" s="16"/>
      <c r="M7" s="17"/>
    </row>
    <row r="8" spans="2:13" x14ac:dyDescent="0.3">
      <c r="C8" s="15"/>
      <c r="D8" s="16"/>
      <c r="E8" s="16"/>
      <c r="F8" s="16"/>
      <c r="G8" s="16"/>
      <c r="H8" s="16"/>
      <c r="I8" s="16"/>
      <c r="J8" s="16"/>
      <c r="K8" s="16"/>
      <c r="L8" s="16"/>
      <c r="M8" s="17"/>
    </row>
    <row r="9" spans="2:13" x14ac:dyDescent="0.3">
      <c r="C9" s="15"/>
      <c r="D9" s="16"/>
      <c r="E9" s="16"/>
      <c r="F9" s="16"/>
      <c r="G9" s="16"/>
      <c r="H9" s="16"/>
      <c r="I9" s="16"/>
      <c r="J9" s="16"/>
      <c r="K9" s="16"/>
      <c r="L9" s="16"/>
      <c r="M9" s="17"/>
    </row>
    <row r="10" spans="2:13" x14ac:dyDescent="0.3">
      <c r="C10" s="15"/>
      <c r="D10" s="16"/>
      <c r="E10" s="16"/>
      <c r="F10" s="16"/>
      <c r="G10" s="16"/>
      <c r="H10" s="16"/>
      <c r="I10" s="16"/>
      <c r="J10" s="16"/>
      <c r="K10" s="16"/>
      <c r="L10" s="16"/>
      <c r="M10" s="17"/>
    </row>
    <row r="11" spans="2:13" x14ac:dyDescent="0.3">
      <c r="C11" s="15"/>
      <c r="D11" s="16"/>
      <c r="E11" s="16"/>
      <c r="F11" s="16"/>
      <c r="G11" s="16"/>
      <c r="H11" s="16"/>
      <c r="I11" s="16"/>
      <c r="J11" s="16"/>
      <c r="K11" s="16"/>
      <c r="L11" s="16"/>
      <c r="M11" s="17"/>
    </row>
    <row r="12" spans="2:13" ht="15" thickBot="1" x14ac:dyDescent="0.35">
      <c r="C12" s="18"/>
      <c r="D12" s="19"/>
      <c r="E12" s="19"/>
      <c r="F12" s="19"/>
      <c r="G12" s="19"/>
      <c r="H12" s="19"/>
      <c r="I12" s="19"/>
      <c r="J12" s="19"/>
      <c r="K12" s="19"/>
      <c r="L12" s="19"/>
      <c r="M12" s="20"/>
    </row>
    <row r="15" spans="2:13" x14ac:dyDescent="0.3">
      <c r="C15" s="6"/>
    </row>
  </sheetData>
  <mergeCells count="2">
    <mergeCell ref="B2:F2"/>
    <mergeCell ref="C4:M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134A-DECC-4340-AD5C-9CB7334B9FA4}">
  <dimension ref="A2:Y15"/>
  <sheetViews>
    <sheetView workbookViewId="0">
      <selection activeCell="H9" sqref="H9"/>
    </sheetView>
  </sheetViews>
  <sheetFormatPr defaultRowHeight="14.4" x14ac:dyDescent="0.3"/>
  <cols>
    <col min="1" max="1" width="10.77734375" bestFit="1" customWidth="1"/>
    <col min="2" max="2" width="9.88671875" bestFit="1" customWidth="1"/>
    <col min="3" max="3" width="3" bestFit="1" customWidth="1"/>
    <col min="4" max="20" width="4" bestFit="1" customWidth="1"/>
    <col min="21" max="21" width="10.77734375" bestFit="1" customWidth="1"/>
    <col min="22" max="22" width="7.21875" bestFit="1" customWidth="1"/>
    <col min="23" max="23" width="9.88671875" bestFit="1" customWidth="1"/>
    <col min="24" max="24" width="10.77734375" bestFit="1" customWidth="1"/>
  </cols>
  <sheetData>
    <row r="2" spans="1:25" ht="15" thickBot="1" x14ac:dyDescent="0.35"/>
    <row r="3" spans="1:25" ht="15" thickBot="1" x14ac:dyDescent="0.35">
      <c r="A3" s="7" t="s">
        <v>1</v>
      </c>
      <c r="B3" t="s">
        <v>17</v>
      </c>
      <c r="J3" s="9" t="s">
        <v>15</v>
      </c>
      <c r="K3" s="10"/>
      <c r="L3" s="10"/>
      <c r="M3" s="10"/>
      <c r="N3" s="10"/>
      <c r="O3" s="10"/>
      <c r="P3" s="10"/>
      <c r="Q3" s="10"/>
      <c r="R3" s="10"/>
      <c r="S3" s="10"/>
      <c r="T3" s="10"/>
      <c r="U3" s="11"/>
    </row>
    <row r="4" spans="1:25" ht="15" thickBot="1" x14ac:dyDescent="0.35">
      <c r="A4" s="6" t="s">
        <v>7</v>
      </c>
      <c r="B4" s="8">
        <v>467</v>
      </c>
    </row>
    <row r="5" spans="1:25" x14ac:dyDescent="0.3">
      <c r="A5" s="6" t="s">
        <v>8</v>
      </c>
      <c r="B5" s="8">
        <v>347</v>
      </c>
      <c r="J5" s="4" t="s">
        <v>13</v>
      </c>
      <c r="K5" s="12" t="s">
        <v>18</v>
      </c>
      <c r="L5" s="13"/>
      <c r="M5" s="13"/>
      <c r="N5" s="13"/>
      <c r="O5" s="13"/>
      <c r="P5" s="13"/>
      <c r="Q5" s="13"/>
      <c r="R5" s="13"/>
      <c r="S5" s="13"/>
      <c r="T5" s="13"/>
      <c r="U5" s="13"/>
      <c r="V5" s="13"/>
      <c r="W5" s="13"/>
      <c r="X5" s="13"/>
      <c r="Y5" s="14"/>
    </row>
    <row r="6" spans="1:25" x14ac:dyDescent="0.3">
      <c r="A6" s="6" t="s">
        <v>6</v>
      </c>
      <c r="B6" s="8">
        <v>2518</v>
      </c>
      <c r="K6" s="15"/>
      <c r="L6" s="16"/>
      <c r="M6" s="16"/>
      <c r="N6" s="16"/>
      <c r="O6" s="16"/>
      <c r="P6" s="16"/>
      <c r="Q6" s="16"/>
      <c r="R6" s="16"/>
      <c r="S6" s="16"/>
      <c r="T6" s="16"/>
      <c r="U6" s="16"/>
      <c r="V6" s="16"/>
      <c r="W6" s="16"/>
      <c r="X6" s="16"/>
      <c r="Y6" s="17"/>
    </row>
    <row r="7" spans="1:25" x14ac:dyDescent="0.3">
      <c r="A7" s="6" t="s">
        <v>5</v>
      </c>
      <c r="B7" s="8">
        <v>3497</v>
      </c>
      <c r="K7" s="15"/>
      <c r="L7" s="16"/>
      <c r="M7" s="16"/>
      <c r="N7" s="16"/>
      <c r="O7" s="16"/>
      <c r="P7" s="16"/>
      <c r="Q7" s="16"/>
      <c r="R7" s="16"/>
      <c r="S7" s="16"/>
      <c r="T7" s="16"/>
      <c r="U7" s="16"/>
      <c r="V7" s="16"/>
      <c r="W7" s="16"/>
      <c r="X7" s="16"/>
      <c r="Y7" s="17"/>
    </row>
    <row r="8" spans="1:25" x14ac:dyDescent="0.3">
      <c r="A8" s="6" t="s">
        <v>16</v>
      </c>
      <c r="B8" s="8">
        <v>6829</v>
      </c>
      <c r="K8" s="15"/>
      <c r="L8" s="16"/>
      <c r="M8" s="16"/>
      <c r="N8" s="16"/>
      <c r="O8" s="16"/>
      <c r="P8" s="16"/>
      <c r="Q8" s="16"/>
      <c r="R8" s="16"/>
      <c r="S8" s="16"/>
      <c r="T8" s="16"/>
      <c r="U8" s="16"/>
      <c r="V8" s="16"/>
      <c r="W8" s="16"/>
      <c r="X8" s="16"/>
      <c r="Y8" s="17"/>
    </row>
    <row r="9" spans="1:25" x14ac:dyDescent="0.3">
      <c r="K9" s="15"/>
      <c r="L9" s="16"/>
      <c r="M9" s="16"/>
      <c r="N9" s="16"/>
      <c r="O9" s="16"/>
      <c r="P9" s="16"/>
      <c r="Q9" s="16"/>
      <c r="R9" s="16"/>
      <c r="S9" s="16"/>
      <c r="T9" s="16"/>
      <c r="U9" s="16"/>
      <c r="V9" s="16"/>
      <c r="W9" s="16"/>
      <c r="X9" s="16"/>
      <c r="Y9" s="17"/>
    </row>
    <row r="10" spans="1:25" x14ac:dyDescent="0.3">
      <c r="K10" s="15"/>
      <c r="L10" s="16"/>
      <c r="M10" s="16"/>
      <c r="N10" s="16"/>
      <c r="O10" s="16"/>
      <c r="P10" s="16"/>
      <c r="Q10" s="16"/>
      <c r="R10" s="16"/>
      <c r="S10" s="16"/>
      <c r="T10" s="16"/>
      <c r="U10" s="16"/>
      <c r="V10" s="16"/>
      <c r="W10" s="16"/>
      <c r="X10" s="16"/>
      <c r="Y10" s="17"/>
    </row>
    <row r="11" spans="1:25" x14ac:dyDescent="0.3">
      <c r="K11" s="15"/>
      <c r="L11" s="16"/>
      <c r="M11" s="16"/>
      <c r="N11" s="16"/>
      <c r="O11" s="16"/>
      <c r="P11" s="16"/>
      <c r="Q11" s="16"/>
      <c r="R11" s="16"/>
      <c r="S11" s="16"/>
      <c r="T11" s="16"/>
      <c r="U11" s="16"/>
      <c r="V11" s="16"/>
      <c r="W11" s="16"/>
      <c r="X11" s="16"/>
      <c r="Y11" s="17"/>
    </row>
    <row r="12" spans="1:25" x14ac:dyDescent="0.3">
      <c r="K12" s="15"/>
      <c r="L12" s="16"/>
      <c r="M12" s="16"/>
      <c r="N12" s="16"/>
      <c r="O12" s="16"/>
      <c r="P12" s="16"/>
      <c r="Q12" s="16"/>
      <c r="R12" s="16"/>
      <c r="S12" s="16"/>
      <c r="T12" s="16"/>
      <c r="U12" s="16"/>
      <c r="V12" s="16"/>
      <c r="W12" s="16"/>
      <c r="X12" s="16"/>
      <c r="Y12" s="17"/>
    </row>
    <row r="13" spans="1:25" x14ac:dyDescent="0.3">
      <c r="K13" s="15"/>
      <c r="L13" s="16"/>
      <c r="M13" s="16"/>
      <c r="N13" s="16"/>
      <c r="O13" s="16"/>
      <c r="P13" s="16"/>
      <c r="Q13" s="16"/>
      <c r="R13" s="16"/>
      <c r="S13" s="16"/>
      <c r="T13" s="16"/>
      <c r="U13" s="16"/>
      <c r="V13" s="16"/>
      <c r="W13" s="16"/>
      <c r="X13" s="16"/>
      <c r="Y13" s="17"/>
    </row>
    <row r="14" spans="1:25" x14ac:dyDescent="0.3">
      <c r="K14" s="15"/>
      <c r="L14" s="16"/>
      <c r="M14" s="16"/>
      <c r="N14" s="16"/>
      <c r="O14" s="16"/>
      <c r="P14" s="16"/>
      <c r="Q14" s="16"/>
      <c r="R14" s="16"/>
      <c r="S14" s="16"/>
      <c r="T14" s="16"/>
      <c r="U14" s="16"/>
      <c r="V14" s="16"/>
      <c r="W14" s="16"/>
      <c r="X14" s="16"/>
      <c r="Y14" s="17"/>
    </row>
    <row r="15" spans="1:25" ht="15" thickBot="1" x14ac:dyDescent="0.35">
      <c r="K15" s="18"/>
      <c r="L15" s="19"/>
      <c r="M15" s="19"/>
      <c r="N15" s="19"/>
      <c r="O15" s="19"/>
      <c r="P15" s="19"/>
      <c r="Q15" s="19"/>
      <c r="R15" s="19"/>
      <c r="S15" s="19"/>
      <c r="T15" s="19"/>
      <c r="U15" s="19"/>
      <c r="V15" s="19"/>
      <c r="W15" s="19"/>
      <c r="X15" s="19"/>
      <c r="Y15" s="20"/>
    </row>
  </sheetData>
  <mergeCells count="2">
    <mergeCell ref="J3:U3"/>
    <mergeCell ref="K5:Y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1D01-F323-4109-8EA5-11C3CCA8DBE2}">
  <dimension ref="B2:P22"/>
  <sheetViews>
    <sheetView workbookViewId="0">
      <selection activeCell="I21" sqref="I21"/>
    </sheetView>
  </sheetViews>
  <sheetFormatPr defaultRowHeight="14.4" x14ac:dyDescent="0.3"/>
  <cols>
    <col min="2" max="2" width="10.33203125" bestFit="1" customWidth="1"/>
  </cols>
  <sheetData>
    <row r="2" spans="2:16" ht="15" thickBot="1" x14ac:dyDescent="0.35">
      <c r="B2" s="1" t="s">
        <v>0</v>
      </c>
      <c r="C2" s="1" t="s">
        <v>1</v>
      </c>
      <c r="D2" s="1" t="s">
        <v>2</v>
      </c>
      <c r="E2" s="1" t="s">
        <v>3</v>
      </c>
      <c r="F2" s="1" t="s">
        <v>4</v>
      </c>
    </row>
    <row r="3" spans="2:16" ht="15" thickBot="1" x14ac:dyDescent="0.35">
      <c r="B3" s="2">
        <v>45292</v>
      </c>
      <c r="C3" s="3" t="s">
        <v>5</v>
      </c>
      <c r="D3" s="3" t="s">
        <v>9</v>
      </c>
      <c r="E3" s="3">
        <v>456</v>
      </c>
      <c r="F3" s="3">
        <v>93</v>
      </c>
      <c r="H3" s="21" t="s">
        <v>19</v>
      </c>
      <c r="I3" s="22"/>
      <c r="J3" s="22"/>
      <c r="K3" s="22"/>
      <c r="L3" s="22"/>
      <c r="M3" s="22"/>
      <c r="N3" s="23"/>
    </row>
    <row r="4" spans="2:16" ht="15" thickBot="1" x14ac:dyDescent="0.35">
      <c r="B4" s="2">
        <v>45301.526315789473</v>
      </c>
      <c r="C4" s="3" t="s">
        <v>6</v>
      </c>
      <c r="D4" s="3" t="s">
        <v>10</v>
      </c>
      <c r="E4" s="3">
        <v>348</v>
      </c>
      <c r="F4" s="3">
        <v>56</v>
      </c>
    </row>
    <row r="5" spans="2:16" ht="14.4" customHeight="1" x14ac:dyDescent="0.3">
      <c r="B5" s="2">
        <v>45311.052631578947</v>
      </c>
      <c r="C5" s="3" t="s">
        <v>6</v>
      </c>
      <c r="D5" s="3" t="s">
        <v>9</v>
      </c>
      <c r="E5" s="3">
        <v>247</v>
      </c>
      <c r="F5" s="3">
        <v>76</v>
      </c>
      <c r="H5" s="5" t="s">
        <v>13</v>
      </c>
      <c r="I5" s="12" t="s">
        <v>20</v>
      </c>
      <c r="J5" s="24"/>
      <c r="K5" s="24"/>
      <c r="L5" s="24"/>
      <c r="M5" s="24"/>
      <c r="N5" s="24"/>
      <c r="O5" s="24"/>
      <c r="P5" s="25"/>
    </row>
    <row r="6" spans="2:16" x14ac:dyDescent="0.3">
      <c r="B6" s="2">
        <v>45320.578947368413</v>
      </c>
      <c r="C6" s="3" t="s">
        <v>5</v>
      </c>
      <c r="D6" s="3" t="s">
        <v>11</v>
      </c>
      <c r="E6" s="3">
        <v>230</v>
      </c>
      <c r="F6" s="3">
        <v>37</v>
      </c>
      <c r="I6" s="26"/>
      <c r="J6" s="27"/>
      <c r="K6" s="27"/>
      <c r="L6" s="27"/>
      <c r="M6" s="27"/>
      <c r="N6" s="27"/>
      <c r="O6" s="27"/>
      <c r="P6" s="28"/>
    </row>
    <row r="7" spans="2:16" x14ac:dyDescent="0.3">
      <c r="B7" s="2">
        <v>45330.105263157893</v>
      </c>
      <c r="C7" s="3" t="s">
        <v>5</v>
      </c>
      <c r="D7" s="3" t="s">
        <v>9</v>
      </c>
      <c r="E7" s="3">
        <v>281</v>
      </c>
      <c r="F7" s="3">
        <v>50</v>
      </c>
      <c r="I7" s="26"/>
      <c r="J7" s="27"/>
      <c r="K7" s="27"/>
      <c r="L7" s="27"/>
      <c r="M7" s="27"/>
      <c r="N7" s="27"/>
      <c r="O7" s="27"/>
      <c r="P7" s="28"/>
    </row>
    <row r="8" spans="2:16" x14ac:dyDescent="0.3">
      <c r="B8" s="2">
        <v>45339.631578947359</v>
      </c>
      <c r="C8" s="3" t="s">
        <v>5</v>
      </c>
      <c r="D8" s="3" t="s">
        <v>10</v>
      </c>
      <c r="E8" s="3">
        <v>334</v>
      </c>
      <c r="F8" s="3">
        <v>52</v>
      </c>
      <c r="I8" s="26"/>
      <c r="J8" s="27"/>
      <c r="K8" s="27"/>
      <c r="L8" s="27"/>
      <c r="M8" s="27"/>
      <c r="N8" s="27"/>
      <c r="O8" s="27"/>
      <c r="P8" s="28"/>
    </row>
    <row r="9" spans="2:16" x14ac:dyDescent="0.3">
      <c r="B9" s="2">
        <v>45349.15789473684</v>
      </c>
      <c r="C9" s="3" t="s">
        <v>6</v>
      </c>
      <c r="D9" s="3" t="s">
        <v>11</v>
      </c>
      <c r="E9" s="3">
        <v>417</v>
      </c>
      <c r="F9" s="3">
        <v>29</v>
      </c>
      <c r="I9" s="26"/>
      <c r="J9" s="27"/>
      <c r="K9" s="27"/>
      <c r="L9" s="27"/>
      <c r="M9" s="27"/>
      <c r="N9" s="27"/>
      <c r="O9" s="27"/>
      <c r="P9" s="28"/>
    </row>
    <row r="10" spans="2:16" x14ac:dyDescent="0.3">
      <c r="B10" s="2">
        <v>45358.684210526313</v>
      </c>
      <c r="C10" s="3" t="s">
        <v>5</v>
      </c>
      <c r="D10" s="3" t="s">
        <v>11</v>
      </c>
      <c r="E10" s="3">
        <v>441</v>
      </c>
      <c r="F10" s="3">
        <v>44</v>
      </c>
      <c r="I10" s="26"/>
      <c r="J10" s="27"/>
      <c r="K10" s="27"/>
      <c r="L10" s="27"/>
      <c r="M10" s="27"/>
      <c r="N10" s="27"/>
      <c r="O10" s="27"/>
      <c r="P10" s="28"/>
    </row>
    <row r="11" spans="2:16" x14ac:dyDescent="0.3">
      <c r="B11" s="2">
        <v>45368.210526315786</v>
      </c>
      <c r="C11" s="3" t="s">
        <v>6</v>
      </c>
      <c r="D11" s="3" t="s">
        <v>9</v>
      </c>
      <c r="E11" s="3">
        <v>76</v>
      </c>
      <c r="F11" s="3">
        <v>63</v>
      </c>
      <c r="I11" s="26"/>
      <c r="J11" s="27"/>
      <c r="K11" s="27"/>
      <c r="L11" s="27"/>
      <c r="M11" s="27"/>
      <c r="N11" s="27"/>
      <c r="O11" s="27"/>
      <c r="P11" s="28"/>
    </row>
    <row r="12" spans="2:16" x14ac:dyDescent="0.3">
      <c r="B12" s="2">
        <v>45377.736842105252</v>
      </c>
      <c r="C12" s="3" t="s">
        <v>5</v>
      </c>
      <c r="D12" s="3" t="s">
        <v>10</v>
      </c>
      <c r="E12" s="3">
        <v>441</v>
      </c>
      <c r="F12" s="3">
        <v>79</v>
      </c>
      <c r="I12" s="26"/>
      <c r="J12" s="27"/>
      <c r="K12" s="27"/>
      <c r="L12" s="27"/>
      <c r="M12" s="27"/>
      <c r="N12" s="27"/>
      <c r="O12" s="27"/>
      <c r="P12" s="28"/>
    </row>
    <row r="13" spans="2:16" x14ac:dyDescent="0.3">
      <c r="B13" s="2">
        <v>45387.263157894733</v>
      </c>
      <c r="C13" s="3" t="s">
        <v>6</v>
      </c>
      <c r="D13" s="3" t="s">
        <v>9</v>
      </c>
      <c r="E13" s="3">
        <v>205</v>
      </c>
      <c r="F13" s="3">
        <v>23</v>
      </c>
      <c r="I13" s="26"/>
      <c r="J13" s="27"/>
      <c r="K13" s="27"/>
      <c r="L13" s="27"/>
      <c r="M13" s="27"/>
      <c r="N13" s="27"/>
      <c r="O13" s="27"/>
      <c r="P13" s="28"/>
    </row>
    <row r="14" spans="2:16" x14ac:dyDescent="0.3">
      <c r="B14" s="2">
        <v>45396.789473684199</v>
      </c>
      <c r="C14" s="3" t="s">
        <v>5</v>
      </c>
      <c r="D14" s="3" t="s">
        <v>10</v>
      </c>
      <c r="E14" s="3">
        <v>483</v>
      </c>
      <c r="F14" s="3">
        <v>97</v>
      </c>
      <c r="I14" s="26"/>
      <c r="J14" s="27"/>
      <c r="K14" s="27"/>
      <c r="L14" s="27"/>
      <c r="M14" s="27"/>
      <c r="N14" s="27"/>
      <c r="O14" s="27"/>
      <c r="P14" s="28"/>
    </row>
    <row r="15" spans="2:16" x14ac:dyDescent="0.3">
      <c r="B15" s="2">
        <v>45406.31578947368</v>
      </c>
      <c r="C15" s="3" t="s">
        <v>7</v>
      </c>
      <c r="D15" s="3" t="s">
        <v>9</v>
      </c>
      <c r="E15" s="3">
        <v>467</v>
      </c>
      <c r="F15" s="3">
        <v>97</v>
      </c>
      <c r="I15" s="26"/>
      <c r="J15" s="27"/>
      <c r="K15" s="27"/>
      <c r="L15" s="27"/>
      <c r="M15" s="27"/>
      <c r="N15" s="27"/>
      <c r="O15" s="27"/>
      <c r="P15" s="28"/>
    </row>
    <row r="16" spans="2:16" x14ac:dyDescent="0.3">
      <c r="B16" s="2">
        <v>45415.842105263153</v>
      </c>
      <c r="C16" s="3" t="s">
        <v>5</v>
      </c>
      <c r="D16" s="3" t="s">
        <v>9</v>
      </c>
      <c r="E16" s="3">
        <v>380</v>
      </c>
      <c r="F16" s="3">
        <v>92</v>
      </c>
      <c r="I16" s="26"/>
      <c r="J16" s="27"/>
      <c r="K16" s="27"/>
      <c r="L16" s="27"/>
      <c r="M16" s="27"/>
      <c r="N16" s="27"/>
      <c r="O16" s="27"/>
      <c r="P16" s="28"/>
    </row>
    <row r="17" spans="2:16" x14ac:dyDescent="0.3">
      <c r="B17" s="2">
        <v>45425.368421052633</v>
      </c>
      <c r="C17" s="3" t="s">
        <v>6</v>
      </c>
      <c r="D17" s="3" t="s">
        <v>10</v>
      </c>
      <c r="E17" s="3">
        <v>497</v>
      </c>
      <c r="F17" s="3">
        <v>71</v>
      </c>
      <c r="I17" s="26"/>
      <c r="J17" s="27"/>
      <c r="K17" s="27"/>
      <c r="L17" s="27"/>
      <c r="M17" s="27"/>
      <c r="N17" s="27"/>
      <c r="O17" s="27"/>
      <c r="P17" s="28"/>
    </row>
    <row r="18" spans="2:16" ht="15" thickBot="1" x14ac:dyDescent="0.35">
      <c r="B18" s="2">
        <v>45434.894736842092</v>
      </c>
      <c r="C18" s="3" t="s">
        <v>6</v>
      </c>
      <c r="D18" s="3" t="s">
        <v>9</v>
      </c>
      <c r="E18" s="3">
        <v>409</v>
      </c>
      <c r="F18" s="3">
        <v>81</v>
      </c>
      <c r="I18" s="29"/>
      <c r="J18" s="30"/>
      <c r="K18" s="30"/>
      <c r="L18" s="30"/>
      <c r="M18" s="30"/>
      <c r="N18" s="30"/>
      <c r="O18" s="30"/>
      <c r="P18" s="31"/>
    </row>
    <row r="19" spans="2:16" x14ac:dyDescent="0.3">
      <c r="B19" s="2">
        <v>45444.421052631573</v>
      </c>
      <c r="C19" s="3" t="s">
        <v>5</v>
      </c>
      <c r="D19" s="3" t="s">
        <v>10</v>
      </c>
      <c r="E19" s="3">
        <v>53</v>
      </c>
      <c r="F19" s="3">
        <v>45</v>
      </c>
    </row>
    <row r="20" spans="2:16" x14ac:dyDescent="0.3">
      <c r="B20" s="2">
        <v>45453.947368421039</v>
      </c>
      <c r="C20" s="3" t="s">
        <v>5</v>
      </c>
      <c r="D20" s="3" t="s">
        <v>11</v>
      </c>
      <c r="E20" s="3">
        <v>398</v>
      </c>
      <c r="F20" s="3">
        <v>33</v>
      </c>
    </row>
    <row r="21" spans="2:16" x14ac:dyDescent="0.3">
      <c r="B21" s="2">
        <v>45463.473684210519</v>
      </c>
      <c r="C21" s="3" t="s">
        <v>8</v>
      </c>
      <c r="D21" s="3" t="s">
        <v>10</v>
      </c>
      <c r="E21" s="3">
        <v>347</v>
      </c>
      <c r="F21" s="3">
        <v>35</v>
      </c>
    </row>
    <row r="22" spans="2:16" x14ac:dyDescent="0.3">
      <c r="B22" s="2">
        <v>45473</v>
      </c>
      <c r="C22" s="3" t="s">
        <v>6</v>
      </c>
      <c r="D22" s="3" t="s">
        <v>11</v>
      </c>
      <c r="E22" s="3">
        <v>319</v>
      </c>
      <c r="F22" s="3">
        <v>45</v>
      </c>
    </row>
  </sheetData>
  <mergeCells count="2">
    <mergeCell ref="H3:N3"/>
    <mergeCell ref="I5:P18"/>
  </mergeCells>
  <conditionalFormatting sqref="E2:E22">
    <cfRule type="cellIs" dxfId="30" priority="1" operator="greaterThan">
      <formula>400</formula>
    </cfRule>
    <cfRule type="cellIs" dxfId="29" priority="2"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E377-9B90-436B-B912-6BCA8765163B}">
  <dimension ref="B1:U22"/>
  <sheetViews>
    <sheetView workbookViewId="0">
      <selection activeCell="J23" sqref="J23"/>
    </sheetView>
  </sheetViews>
  <sheetFormatPr defaultRowHeight="14.4" x14ac:dyDescent="0.3"/>
  <cols>
    <col min="2" max="2" width="10.33203125" bestFit="1" customWidth="1"/>
  </cols>
  <sheetData>
    <row r="1" spans="2:21" ht="15" thickBot="1" x14ac:dyDescent="0.35"/>
    <row r="2" spans="2:21" ht="15" thickBot="1" x14ac:dyDescent="0.35">
      <c r="B2" s="1" t="s">
        <v>0</v>
      </c>
      <c r="C2" s="1" t="s">
        <v>1</v>
      </c>
      <c r="D2" s="1" t="s">
        <v>2</v>
      </c>
      <c r="E2" s="1" t="s">
        <v>3</v>
      </c>
      <c r="F2" s="1" t="s">
        <v>4</v>
      </c>
      <c r="I2" s="9" t="s">
        <v>21</v>
      </c>
      <c r="J2" s="10"/>
      <c r="K2" s="10"/>
      <c r="L2" s="10"/>
      <c r="M2" s="10"/>
      <c r="N2" s="10"/>
      <c r="O2" s="10"/>
      <c r="P2" s="10"/>
      <c r="Q2" s="11"/>
    </row>
    <row r="3" spans="2:21" ht="15" thickBot="1" x14ac:dyDescent="0.35">
      <c r="B3" s="2">
        <v>45406.31578947368</v>
      </c>
      <c r="C3" s="3" t="s">
        <v>7</v>
      </c>
      <c r="D3" s="3" t="s">
        <v>9</v>
      </c>
      <c r="E3" s="3">
        <v>467</v>
      </c>
      <c r="F3" s="3">
        <v>97</v>
      </c>
      <c r="H3" s="5" t="s">
        <v>13</v>
      </c>
      <c r="I3" s="5"/>
    </row>
    <row r="4" spans="2:21" x14ac:dyDescent="0.3">
      <c r="B4" s="2">
        <v>45463.473684210519</v>
      </c>
      <c r="C4" s="3" t="s">
        <v>8</v>
      </c>
      <c r="D4" s="3" t="s">
        <v>10</v>
      </c>
      <c r="E4" s="3">
        <v>347</v>
      </c>
      <c r="F4" s="3">
        <v>35</v>
      </c>
      <c r="H4" s="12" t="s">
        <v>22</v>
      </c>
      <c r="I4" s="13"/>
      <c r="J4" s="13"/>
      <c r="K4" s="13"/>
      <c r="L4" s="13"/>
      <c r="M4" s="14"/>
      <c r="O4" s="32" t="s">
        <v>23</v>
      </c>
      <c r="P4" s="33"/>
      <c r="Q4" s="33"/>
      <c r="R4" s="33"/>
      <c r="S4" s="33"/>
      <c r="T4" s="33"/>
      <c r="U4" s="34"/>
    </row>
    <row r="5" spans="2:21" x14ac:dyDescent="0.3">
      <c r="B5" s="2">
        <v>45301.526315789473</v>
      </c>
      <c r="C5" s="3" t="s">
        <v>6</v>
      </c>
      <c r="D5" s="3" t="s">
        <v>10</v>
      </c>
      <c r="E5" s="3">
        <v>348</v>
      </c>
      <c r="F5" s="3">
        <v>56</v>
      </c>
      <c r="H5" s="15"/>
      <c r="I5" s="16"/>
      <c r="J5" s="16"/>
      <c r="K5" s="16"/>
      <c r="L5" s="16"/>
      <c r="M5" s="17"/>
      <c r="O5" s="35"/>
      <c r="P5" s="36"/>
      <c r="Q5" s="36"/>
      <c r="R5" s="36"/>
      <c r="S5" s="36"/>
      <c r="T5" s="36"/>
      <c r="U5" s="37"/>
    </row>
    <row r="6" spans="2:21" x14ac:dyDescent="0.3">
      <c r="B6" s="2">
        <v>45311.052631578947</v>
      </c>
      <c r="C6" s="3" t="s">
        <v>6</v>
      </c>
      <c r="D6" s="3" t="s">
        <v>9</v>
      </c>
      <c r="E6" s="3">
        <v>247</v>
      </c>
      <c r="F6" s="3">
        <v>76</v>
      </c>
      <c r="H6" s="15"/>
      <c r="I6" s="16"/>
      <c r="J6" s="16"/>
      <c r="K6" s="16"/>
      <c r="L6" s="16"/>
      <c r="M6" s="17"/>
      <c r="O6" s="35"/>
      <c r="P6" s="36"/>
      <c r="Q6" s="36"/>
      <c r="R6" s="36"/>
      <c r="S6" s="36"/>
      <c r="T6" s="36"/>
      <c r="U6" s="37"/>
    </row>
    <row r="7" spans="2:21" x14ac:dyDescent="0.3">
      <c r="B7" s="2">
        <v>45349.15789473684</v>
      </c>
      <c r="C7" s="3" t="s">
        <v>6</v>
      </c>
      <c r="D7" s="3" t="s">
        <v>11</v>
      </c>
      <c r="E7" s="3">
        <v>417</v>
      </c>
      <c r="F7" s="3">
        <v>29</v>
      </c>
      <c r="H7" s="15"/>
      <c r="I7" s="16"/>
      <c r="J7" s="16"/>
      <c r="K7" s="16"/>
      <c r="L7" s="16"/>
      <c r="M7" s="17"/>
      <c r="O7" s="35"/>
      <c r="P7" s="36"/>
      <c r="Q7" s="36"/>
      <c r="R7" s="36"/>
      <c r="S7" s="36"/>
      <c r="T7" s="36"/>
      <c r="U7" s="37"/>
    </row>
    <row r="8" spans="2:21" x14ac:dyDescent="0.3">
      <c r="B8" s="2">
        <v>45368.210526315786</v>
      </c>
      <c r="C8" s="3" t="s">
        <v>6</v>
      </c>
      <c r="D8" s="3" t="s">
        <v>9</v>
      </c>
      <c r="E8" s="3">
        <v>76</v>
      </c>
      <c r="F8" s="3">
        <v>63</v>
      </c>
      <c r="H8" s="15"/>
      <c r="I8" s="16"/>
      <c r="J8" s="16"/>
      <c r="K8" s="16"/>
      <c r="L8" s="16"/>
      <c r="M8" s="17"/>
      <c r="O8" s="35"/>
      <c r="P8" s="36"/>
      <c r="Q8" s="36"/>
      <c r="R8" s="36"/>
      <c r="S8" s="36"/>
      <c r="T8" s="36"/>
      <c r="U8" s="37"/>
    </row>
    <row r="9" spans="2:21" x14ac:dyDescent="0.3">
      <c r="B9" s="2">
        <v>45387.263157894733</v>
      </c>
      <c r="C9" s="3" t="s">
        <v>6</v>
      </c>
      <c r="D9" s="3" t="s">
        <v>9</v>
      </c>
      <c r="E9" s="3">
        <v>205</v>
      </c>
      <c r="F9" s="3">
        <v>23</v>
      </c>
      <c r="H9" s="15"/>
      <c r="I9" s="16"/>
      <c r="J9" s="16"/>
      <c r="K9" s="16"/>
      <c r="L9" s="16"/>
      <c r="M9" s="17"/>
      <c r="O9" s="35"/>
      <c r="P9" s="36"/>
      <c r="Q9" s="36"/>
      <c r="R9" s="36"/>
      <c r="S9" s="36"/>
      <c r="T9" s="36"/>
      <c r="U9" s="37"/>
    </row>
    <row r="10" spans="2:21" x14ac:dyDescent="0.3">
      <c r="B10" s="2">
        <v>45425.368421052633</v>
      </c>
      <c r="C10" s="3" t="s">
        <v>6</v>
      </c>
      <c r="D10" s="3" t="s">
        <v>10</v>
      </c>
      <c r="E10" s="3">
        <v>497</v>
      </c>
      <c r="F10" s="3">
        <v>71</v>
      </c>
      <c r="H10" s="15"/>
      <c r="I10" s="16"/>
      <c r="J10" s="16"/>
      <c r="K10" s="16"/>
      <c r="L10" s="16"/>
      <c r="M10" s="17"/>
      <c r="O10" s="35"/>
      <c r="P10" s="36"/>
      <c r="Q10" s="36"/>
      <c r="R10" s="36"/>
      <c r="S10" s="36"/>
      <c r="T10" s="36"/>
      <c r="U10" s="37"/>
    </row>
    <row r="11" spans="2:21" x14ac:dyDescent="0.3">
      <c r="B11" s="2">
        <v>45434.894736842092</v>
      </c>
      <c r="C11" s="3" t="s">
        <v>6</v>
      </c>
      <c r="D11" s="3" t="s">
        <v>9</v>
      </c>
      <c r="E11" s="3">
        <v>409</v>
      </c>
      <c r="F11" s="3">
        <v>81</v>
      </c>
      <c r="H11" s="15"/>
      <c r="I11" s="16"/>
      <c r="J11" s="16"/>
      <c r="K11" s="16"/>
      <c r="L11" s="16"/>
      <c r="M11" s="17"/>
      <c r="O11" s="35"/>
      <c r="P11" s="36"/>
      <c r="Q11" s="36"/>
      <c r="R11" s="36"/>
      <c r="S11" s="36"/>
      <c r="T11" s="36"/>
      <c r="U11" s="37"/>
    </row>
    <row r="12" spans="2:21" x14ac:dyDescent="0.3">
      <c r="B12" s="2">
        <v>45473</v>
      </c>
      <c r="C12" s="3" t="s">
        <v>6</v>
      </c>
      <c r="D12" s="3" t="s">
        <v>11</v>
      </c>
      <c r="E12" s="3">
        <v>319</v>
      </c>
      <c r="F12" s="3">
        <v>45</v>
      </c>
      <c r="H12" s="15"/>
      <c r="I12" s="16"/>
      <c r="J12" s="16"/>
      <c r="K12" s="16"/>
      <c r="L12" s="16"/>
      <c r="M12" s="17"/>
      <c r="O12" s="35"/>
      <c r="P12" s="36"/>
      <c r="Q12" s="36"/>
      <c r="R12" s="36"/>
      <c r="S12" s="36"/>
      <c r="T12" s="36"/>
      <c r="U12" s="37"/>
    </row>
    <row r="13" spans="2:21" x14ac:dyDescent="0.3">
      <c r="B13" s="2">
        <v>45292</v>
      </c>
      <c r="C13" s="3" t="s">
        <v>5</v>
      </c>
      <c r="D13" s="3" t="s">
        <v>9</v>
      </c>
      <c r="E13" s="3">
        <v>456</v>
      </c>
      <c r="F13" s="3">
        <v>93</v>
      </c>
      <c r="H13" s="15"/>
      <c r="I13" s="16"/>
      <c r="J13" s="16"/>
      <c r="K13" s="16"/>
      <c r="L13" s="16"/>
      <c r="M13" s="17"/>
      <c r="O13" s="35"/>
      <c r="P13" s="36"/>
      <c r="Q13" s="36"/>
      <c r="R13" s="36"/>
      <c r="S13" s="36"/>
      <c r="T13" s="36"/>
      <c r="U13" s="37"/>
    </row>
    <row r="14" spans="2:21" x14ac:dyDescent="0.3">
      <c r="B14" s="2">
        <v>45320.578947368413</v>
      </c>
      <c r="C14" s="3" t="s">
        <v>5</v>
      </c>
      <c r="D14" s="3" t="s">
        <v>11</v>
      </c>
      <c r="E14" s="3">
        <v>230</v>
      </c>
      <c r="F14" s="3">
        <v>37</v>
      </c>
      <c r="H14" s="15"/>
      <c r="I14" s="16"/>
      <c r="J14" s="16"/>
      <c r="K14" s="16"/>
      <c r="L14" s="16"/>
      <c r="M14" s="17"/>
      <c r="O14" s="35"/>
      <c r="P14" s="36"/>
      <c r="Q14" s="36"/>
      <c r="R14" s="36"/>
      <c r="S14" s="36"/>
      <c r="T14" s="36"/>
      <c r="U14" s="37"/>
    </row>
    <row r="15" spans="2:21" ht="15" thickBot="1" x14ac:dyDescent="0.35">
      <c r="B15" s="2">
        <v>45330.105263157893</v>
      </c>
      <c r="C15" s="3" t="s">
        <v>5</v>
      </c>
      <c r="D15" s="3" t="s">
        <v>9</v>
      </c>
      <c r="E15" s="3">
        <v>281</v>
      </c>
      <c r="F15" s="3">
        <v>50</v>
      </c>
      <c r="H15" s="18"/>
      <c r="I15" s="19"/>
      <c r="J15" s="19"/>
      <c r="K15" s="19"/>
      <c r="L15" s="19"/>
      <c r="M15" s="20"/>
      <c r="O15" s="38"/>
      <c r="P15" s="39"/>
      <c r="Q15" s="39"/>
      <c r="R15" s="39"/>
      <c r="S15" s="39"/>
      <c r="T15" s="39"/>
      <c r="U15" s="40"/>
    </row>
    <row r="16" spans="2:21" x14ac:dyDescent="0.3">
      <c r="B16" s="2">
        <v>45339.631578947359</v>
      </c>
      <c r="C16" s="3" t="s">
        <v>5</v>
      </c>
      <c r="D16" s="3" t="s">
        <v>10</v>
      </c>
      <c r="E16" s="3">
        <v>334</v>
      </c>
      <c r="F16" s="3">
        <v>52</v>
      </c>
    </row>
    <row r="17" spans="2:6" x14ac:dyDescent="0.3">
      <c r="B17" s="2">
        <v>45358.684210526313</v>
      </c>
      <c r="C17" s="3" t="s">
        <v>5</v>
      </c>
      <c r="D17" s="3" t="s">
        <v>11</v>
      </c>
      <c r="E17" s="3">
        <v>441</v>
      </c>
      <c r="F17" s="3">
        <v>44</v>
      </c>
    </row>
    <row r="18" spans="2:6" x14ac:dyDescent="0.3">
      <c r="B18" s="2">
        <v>45377.736842105252</v>
      </c>
      <c r="C18" s="3" t="s">
        <v>5</v>
      </c>
      <c r="D18" s="3" t="s">
        <v>10</v>
      </c>
      <c r="E18" s="3">
        <v>441</v>
      </c>
      <c r="F18" s="3">
        <v>79</v>
      </c>
    </row>
    <row r="19" spans="2:6" x14ac:dyDescent="0.3">
      <c r="B19" s="2">
        <v>45396.789473684199</v>
      </c>
      <c r="C19" s="3" t="s">
        <v>5</v>
      </c>
      <c r="D19" s="3" t="s">
        <v>10</v>
      </c>
      <c r="E19" s="3">
        <v>483</v>
      </c>
      <c r="F19" s="3">
        <v>97</v>
      </c>
    </row>
    <row r="20" spans="2:6" x14ac:dyDescent="0.3">
      <c r="B20" s="2">
        <v>45415.842105263153</v>
      </c>
      <c r="C20" s="3" t="s">
        <v>5</v>
      </c>
      <c r="D20" s="3" t="s">
        <v>9</v>
      </c>
      <c r="E20" s="3">
        <v>380</v>
      </c>
      <c r="F20" s="3">
        <v>92</v>
      </c>
    </row>
    <row r="21" spans="2:6" x14ac:dyDescent="0.3">
      <c r="B21" s="2">
        <v>45444.421052631573</v>
      </c>
      <c r="C21" s="3" t="s">
        <v>5</v>
      </c>
      <c r="D21" s="3" t="s">
        <v>10</v>
      </c>
      <c r="E21" s="3">
        <v>53</v>
      </c>
      <c r="F21" s="3">
        <v>45</v>
      </c>
    </row>
    <row r="22" spans="2:6" x14ac:dyDescent="0.3">
      <c r="B22" s="2">
        <v>45453.947368421039</v>
      </c>
      <c r="C22" s="3" t="s">
        <v>5</v>
      </c>
      <c r="D22" s="3" t="s">
        <v>11</v>
      </c>
      <c r="E22" s="3">
        <v>398</v>
      </c>
      <c r="F22" s="3">
        <v>33</v>
      </c>
    </row>
  </sheetData>
  <autoFilter ref="B2:F22" xr:uid="{0F0BE377-9B90-436B-B912-6BCA8765163B}"/>
  <sortState xmlns:xlrd2="http://schemas.microsoft.com/office/spreadsheetml/2017/richdata2" ref="B3:F22">
    <sortCondition ref="C13:C22"/>
  </sortState>
  <mergeCells count="3">
    <mergeCell ref="I2:Q2"/>
    <mergeCell ref="H4:M15"/>
    <mergeCell ref="O4:U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6ADD-5041-4362-8D5E-ABAFF48BB6C8}">
  <dimension ref="A1:J10"/>
  <sheetViews>
    <sheetView workbookViewId="0">
      <selection activeCell="P6" sqref="P6"/>
    </sheetView>
  </sheetViews>
  <sheetFormatPr defaultRowHeight="14.4" x14ac:dyDescent="0.3"/>
  <cols>
    <col min="1" max="1" width="10.77734375" bestFit="1" customWidth="1"/>
    <col min="2" max="2" width="10.33203125" bestFit="1" customWidth="1"/>
  </cols>
  <sheetData>
    <row r="1" spans="1:10" ht="15" thickBot="1" x14ac:dyDescent="0.35"/>
    <row r="2" spans="1:10" ht="15" thickBot="1" x14ac:dyDescent="0.35">
      <c r="F2" s="21" t="s">
        <v>32</v>
      </c>
      <c r="G2" s="22"/>
      <c r="H2" s="22"/>
      <c r="I2" s="22"/>
      <c r="J2" s="23"/>
    </row>
    <row r="3" spans="1:10" x14ac:dyDescent="0.3">
      <c r="A3" s="7" t="s">
        <v>30</v>
      </c>
      <c r="B3" t="s">
        <v>31</v>
      </c>
    </row>
    <row r="4" spans="1:10" x14ac:dyDescent="0.3">
      <c r="A4" s="6" t="s">
        <v>24</v>
      </c>
      <c r="B4" s="8">
        <v>1281</v>
      </c>
      <c r="E4" s="5" t="s">
        <v>13</v>
      </c>
    </row>
    <row r="5" spans="1:10" x14ac:dyDescent="0.3">
      <c r="A5" s="6" t="s">
        <v>25</v>
      </c>
      <c r="B5" s="8">
        <v>1032</v>
      </c>
    </row>
    <row r="6" spans="1:10" x14ac:dyDescent="0.3">
      <c r="A6" s="6" t="s">
        <v>26</v>
      </c>
      <c r="B6" s="8">
        <v>958</v>
      </c>
    </row>
    <row r="7" spans="1:10" x14ac:dyDescent="0.3">
      <c r="A7" s="6" t="s">
        <v>27</v>
      </c>
      <c r="B7" s="8">
        <v>1155</v>
      </c>
    </row>
    <row r="8" spans="1:10" x14ac:dyDescent="0.3">
      <c r="A8" s="6" t="s">
        <v>28</v>
      </c>
      <c r="B8" s="8">
        <v>1286</v>
      </c>
    </row>
    <row r="9" spans="1:10" x14ac:dyDescent="0.3">
      <c r="A9" s="6" t="s">
        <v>29</v>
      </c>
      <c r="B9" s="8">
        <v>1117</v>
      </c>
    </row>
    <row r="10" spans="1:10" x14ac:dyDescent="0.3">
      <c r="A10" s="6" t="s">
        <v>16</v>
      </c>
      <c r="B10" s="8">
        <v>6829</v>
      </c>
    </row>
  </sheetData>
  <mergeCells count="1">
    <mergeCell ref="F2: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A42C-C192-4B9F-A281-9AF1C7C17478}">
  <dimension ref="A2:J10"/>
  <sheetViews>
    <sheetView workbookViewId="0">
      <selection activeCell="A9" sqref="A9"/>
    </sheetView>
  </sheetViews>
  <sheetFormatPr defaultRowHeight="14.4" x14ac:dyDescent="0.3"/>
  <cols>
    <col min="1" max="1" width="10.77734375" bestFit="1" customWidth="1"/>
    <col min="2" max="2" width="9.88671875" bestFit="1" customWidth="1"/>
  </cols>
  <sheetData>
    <row r="2" spans="1:10" ht="15" thickBot="1" x14ac:dyDescent="0.35"/>
    <row r="3" spans="1:10" ht="15" thickBot="1" x14ac:dyDescent="0.35">
      <c r="A3" s="7" t="s">
        <v>30</v>
      </c>
      <c r="B3" t="s">
        <v>17</v>
      </c>
      <c r="D3" s="21" t="s">
        <v>33</v>
      </c>
      <c r="E3" s="22"/>
      <c r="F3" s="22"/>
      <c r="G3" s="22"/>
      <c r="H3" s="22"/>
      <c r="I3" s="22"/>
      <c r="J3" s="23"/>
    </row>
    <row r="4" spans="1:10" x14ac:dyDescent="0.3">
      <c r="A4" s="6" t="s">
        <v>24</v>
      </c>
      <c r="B4" s="8">
        <v>1281</v>
      </c>
    </row>
    <row r="5" spans="1:10" x14ac:dyDescent="0.3">
      <c r="A5" s="6" t="s">
        <v>25</v>
      </c>
      <c r="B5" s="8">
        <v>1032</v>
      </c>
    </row>
    <row r="6" spans="1:10" x14ac:dyDescent="0.3">
      <c r="A6" s="6" t="s">
        <v>26</v>
      </c>
      <c r="B6" s="8">
        <v>958</v>
      </c>
    </row>
    <row r="7" spans="1:10" x14ac:dyDescent="0.3">
      <c r="A7" s="6" t="s">
        <v>27</v>
      </c>
      <c r="B7" s="8">
        <v>1155</v>
      </c>
    </row>
    <row r="8" spans="1:10" x14ac:dyDescent="0.3">
      <c r="A8" s="6" t="s">
        <v>28</v>
      </c>
      <c r="B8" s="8">
        <v>1286</v>
      </c>
    </row>
    <row r="9" spans="1:10" x14ac:dyDescent="0.3">
      <c r="A9" s="6" t="s">
        <v>29</v>
      </c>
      <c r="B9" s="8">
        <v>1117</v>
      </c>
    </row>
    <row r="10" spans="1:10" x14ac:dyDescent="0.3">
      <c r="A10" s="6" t="s">
        <v>16</v>
      </c>
      <c r="B10" s="8">
        <v>6829</v>
      </c>
    </row>
  </sheetData>
  <mergeCells count="1">
    <mergeCell ref="D3:J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143D-2C13-4842-92F1-5F58027B9C60}">
  <dimension ref="B1:K17"/>
  <sheetViews>
    <sheetView workbookViewId="0">
      <selection activeCell="L20" sqref="L20"/>
    </sheetView>
  </sheetViews>
  <sheetFormatPr defaultRowHeight="14.4" x14ac:dyDescent="0.3"/>
  <sheetData>
    <row r="1" spans="2:11" ht="15" thickBot="1" x14ac:dyDescent="0.35"/>
    <row r="2" spans="2:11" ht="15" thickBot="1" x14ac:dyDescent="0.35">
      <c r="B2" s="21" t="s">
        <v>34</v>
      </c>
      <c r="C2" s="22"/>
      <c r="D2" s="22"/>
      <c r="E2" s="22"/>
      <c r="F2" s="22"/>
      <c r="G2" s="22"/>
      <c r="H2" s="22"/>
      <c r="I2" s="23"/>
    </row>
    <row r="3" spans="2:11" ht="15" thickBot="1" x14ac:dyDescent="0.35">
      <c r="B3" s="5" t="s">
        <v>13</v>
      </c>
    </row>
    <row r="4" spans="2:11" ht="14.4" customHeight="1" x14ac:dyDescent="0.3">
      <c r="C4" s="12" t="s">
        <v>35</v>
      </c>
      <c r="D4" s="24"/>
      <c r="E4" s="24"/>
      <c r="F4" s="24"/>
      <c r="G4" s="24"/>
      <c r="H4" s="24"/>
      <c r="I4" s="24"/>
      <c r="J4" s="24"/>
      <c r="K4" s="25"/>
    </row>
    <row r="5" spans="2:11" x14ac:dyDescent="0.3">
      <c r="C5" s="26"/>
      <c r="D5" s="41"/>
      <c r="E5" s="41"/>
      <c r="F5" s="41"/>
      <c r="G5" s="41"/>
      <c r="H5" s="41"/>
      <c r="I5" s="41"/>
      <c r="J5" s="41"/>
      <c r="K5" s="28"/>
    </row>
    <row r="6" spans="2:11" x14ac:dyDescent="0.3">
      <c r="C6" s="26"/>
      <c r="D6" s="41"/>
      <c r="E6" s="41"/>
      <c r="F6" s="41"/>
      <c r="G6" s="41"/>
      <c r="H6" s="41"/>
      <c r="I6" s="41"/>
      <c r="J6" s="41"/>
      <c r="K6" s="28"/>
    </row>
    <row r="7" spans="2:11" x14ac:dyDescent="0.3">
      <c r="C7" s="26"/>
      <c r="D7" s="41"/>
      <c r="E7" s="41"/>
      <c r="F7" s="41"/>
      <c r="G7" s="41"/>
      <c r="H7" s="41"/>
      <c r="I7" s="41"/>
      <c r="J7" s="41"/>
      <c r="K7" s="28"/>
    </row>
    <row r="8" spans="2:11" x14ac:dyDescent="0.3">
      <c r="C8" s="26"/>
      <c r="D8" s="41"/>
      <c r="E8" s="41"/>
      <c r="F8" s="41"/>
      <c r="G8" s="41"/>
      <c r="H8" s="41"/>
      <c r="I8" s="41"/>
      <c r="J8" s="41"/>
      <c r="K8" s="28"/>
    </row>
    <row r="9" spans="2:11" x14ac:dyDescent="0.3">
      <c r="C9" s="26"/>
      <c r="D9" s="41"/>
      <c r="E9" s="41"/>
      <c r="F9" s="41"/>
      <c r="G9" s="41"/>
      <c r="H9" s="41"/>
      <c r="I9" s="41"/>
      <c r="J9" s="41"/>
      <c r="K9" s="28"/>
    </row>
    <row r="10" spans="2:11" x14ac:dyDescent="0.3">
      <c r="C10" s="26"/>
      <c r="D10" s="41"/>
      <c r="E10" s="41"/>
      <c r="F10" s="41"/>
      <c r="G10" s="41"/>
      <c r="H10" s="41"/>
      <c r="I10" s="41"/>
      <c r="J10" s="41"/>
      <c r="K10" s="28"/>
    </row>
    <row r="11" spans="2:11" x14ac:dyDescent="0.3">
      <c r="C11" s="26"/>
      <c r="D11" s="41"/>
      <c r="E11" s="41"/>
      <c r="F11" s="41"/>
      <c r="G11" s="41"/>
      <c r="H11" s="41"/>
      <c r="I11" s="41"/>
      <c r="J11" s="41"/>
      <c r="K11" s="28"/>
    </row>
    <row r="12" spans="2:11" x14ac:dyDescent="0.3">
      <c r="C12" s="26"/>
      <c r="D12" s="41"/>
      <c r="E12" s="41"/>
      <c r="F12" s="41"/>
      <c r="G12" s="41"/>
      <c r="H12" s="41"/>
      <c r="I12" s="41"/>
      <c r="J12" s="41"/>
      <c r="K12" s="28"/>
    </row>
    <row r="13" spans="2:11" x14ac:dyDescent="0.3">
      <c r="C13" s="26"/>
      <c r="D13" s="41"/>
      <c r="E13" s="41"/>
      <c r="F13" s="41"/>
      <c r="G13" s="41"/>
      <c r="H13" s="41"/>
      <c r="I13" s="41"/>
      <c r="J13" s="41"/>
      <c r="K13" s="28"/>
    </row>
    <row r="14" spans="2:11" x14ac:dyDescent="0.3">
      <c r="C14" s="26"/>
      <c r="D14" s="41"/>
      <c r="E14" s="41"/>
      <c r="F14" s="41"/>
      <c r="G14" s="41"/>
      <c r="H14" s="41"/>
      <c r="I14" s="41"/>
      <c r="J14" s="41"/>
      <c r="K14" s="28"/>
    </row>
    <row r="15" spans="2:11" x14ac:dyDescent="0.3">
      <c r="C15" s="26"/>
      <c r="D15" s="41"/>
      <c r="E15" s="41"/>
      <c r="F15" s="41"/>
      <c r="G15" s="41"/>
      <c r="H15" s="41"/>
      <c r="I15" s="41"/>
      <c r="J15" s="41"/>
      <c r="K15" s="28"/>
    </row>
    <row r="16" spans="2:11" x14ac:dyDescent="0.3">
      <c r="C16" s="26"/>
      <c r="D16" s="41"/>
      <c r="E16" s="41"/>
      <c r="F16" s="41"/>
      <c r="G16" s="41"/>
      <c r="H16" s="41"/>
      <c r="I16" s="41"/>
      <c r="J16" s="41"/>
      <c r="K16" s="28"/>
    </row>
    <row r="17" spans="3:11" ht="15" thickBot="1" x14ac:dyDescent="0.35">
      <c r="C17" s="29"/>
      <c r="D17" s="30"/>
      <c r="E17" s="30"/>
      <c r="F17" s="30"/>
      <c r="G17" s="30"/>
      <c r="H17" s="30"/>
      <c r="I17" s="30"/>
      <c r="J17" s="30"/>
      <c r="K17" s="31"/>
    </row>
  </sheetData>
  <mergeCells count="2">
    <mergeCell ref="B2:I2"/>
    <mergeCell ref="C4:K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BB72-80CE-457C-8DF4-DD96AD0078CB}">
  <dimension ref="A1:S25"/>
  <sheetViews>
    <sheetView workbookViewId="0">
      <selection activeCell="E17" sqref="E17"/>
    </sheetView>
  </sheetViews>
  <sheetFormatPr defaultRowHeight="14.4" x14ac:dyDescent="0.3"/>
  <cols>
    <col min="1" max="1" width="10.77734375" bestFit="1" customWidth="1"/>
    <col min="2" max="2" width="9.88671875" bestFit="1" customWidth="1"/>
  </cols>
  <sheetData>
    <row r="1" spans="1:19" ht="15" thickBot="1" x14ac:dyDescent="0.35"/>
    <row r="2" spans="1:19" x14ac:dyDescent="0.3">
      <c r="B2" s="42" t="s">
        <v>36</v>
      </c>
      <c r="C2" s="43"/>
      <c r="D2" s="43"/>
      <c r="E2" s="44"/>
    </row>
    <row r="3" spans="1:19" x14ac:dyDescent="0.3">
      <c r="B3" s="45" t="s">
        <v>37</v>
      </c>
      <c r="C3" s="46"/>
      <c r="D3" s="46"/>
      <c r="E3" s="47"/>
      <c r="F3" s="51"/>
      <c r="G3" s="51"/>
      <c r="H3" s="51"/>
      <c r="I3" s="51"/>
      <c r="J3" s="51"/>
      <c r="K3" s="51"/>
      <c r="L3" s="51"/>
      <c r="M3" s="51"/>
      <c r="N3" s="51"/>
      <c r="O3" s="51"/>
      <c r="P3" s="51"/>
      <c r="Q3" s="51"/>
      <c r="R3" s="51"/>
      <c r="S3" s="51"/>
    </row>
    <row r="4" spans="1:19" x14ac:dyDescent="0.3">
      <c r="B4" s="45" t="s">
        <v>38</v>
      </c>
      <c r="C4" s="46"/>
      <c r="D4" s="46"/>
      <c r="E4" s="47"/>
      <c r="F4" s="51"/>
      <c r="G4" s="51"/>
      <c r="H4" s="51"/>
      <c r="I4" s="51"/>
      <c r="J4" s="51"/>
      <c r="K4" s="51"/>
      <c r="L4" s="51"/>
      <c r="M4" s="51"/>
      <c r="N4" s="51"/>
      <c r="O4" s="51"/>
      <c r="P4" s="51"/>
      <c r="Q4" s="51"/>
      <c r="R4" s="51"/>
      <c r="S4" s="51"/>
    </row>
    <row r="5" spans="1:19" ht="15" thickBot="1" x14ac:dyDescent="0.35">
      <c r="B5" s="48" t="s">
        <v>39</v>
      </c>
      <c r="C5" s="49"/>
      <c r="D5" s="49"/>
      <c r="E5" s="50"/>
      <c r="F5" s="51"/>
      <c r="G5" s="51"/>
      <c r="H5" s="51"/>
      <c r="I5" s="51"/>
      <c r="J5" s="51"/>
      <c r="K5" s="51"/>
      <c r="L5" s="51"/>
      <c r="M5" s="51"/>
      <c r="N5" s="51"/>
      <c r="O5" s="51"/>
      <c r="P5" s="51"/>
      <c r="Q5" s="51"/>
      <c r="R5" s="51"/>
      <c r="S5" s="51"/>
    </row>
    <row r="6" spans="1:19" x14ac:dyDescent="0.3">
      <c r="F6" s="51"/>
      <c r="G6" s="51"/>
      <c r="H6" s="51"/>
      <c r="I6" s="51"/>
      <c r="J6" s="51"/>
      <c r="K6" s="51"/>
      <c r="L6" s="51"/>
      <c r="M6" s="51"/>
      <c r="N6" s="51"/>
      <c r="O6" s="51"/>
      <c r="P6" s="51"/>
      <c r="Q6" s="51"/>
      <c r="R6" s="51"/>
      <c r="S6" s="51"/>
    </row>
    <row r="7" spans="1:19" x14ac:dyDescent="0.3">
      <c r="A7" s="7" t="s">
        <v>1</v>
      </c>
      <c r="B7" t="s">
        <v>17</v>
      </c>
      <c r="F7" s="51"/>
      <c r="G7" s="51"/>
      <c r="H7" s="51"/>
      <c r="I7" s="51"/>
      <c r="J7" s="51"/>
      <c r="K7" s="51"/>
      <c r="L7" s="51"/>
      <c r="M7" s="51"/>
      <c r="N7" s="51"/>
      <c r="O7" s="51"/>
      <c r="P7" s="51"/>
      <c r="Q7" s="51"/>
      <c r="R7" s="51"/>
      <c r="S7" s="51"/>
    </row>
    <row r="8" spans="1:19" x14ac:dyDescent="0.3">
      <c r="A8" s="6" t="s">
        <v>8</v>
      </c>
      <c r="B8" s="8">
        <v>347</v>
      </c>
      <c r="F8" s="51"/>
      <c r="G8" s="51"/>
      <c r="H8" s="51"/>
      <c r="I8" s="51"/>
      <c r="J8" s="51"/>
      <c r="K8" s="51"/>
      <c r="L8" s="51"/>
      <c r="M8" s="51"/>
      <c r="N8" s="51"/>
      <c r="O8" s="51"/>
      <c r="P8" s="51"/>
      <c r="Q8" s="51"/>
      <c r="R8" s="51"/>
      <c r="S8" s="51"/>
    </row>
    <row r="9" spans="1:19" x14ac:dyDescent="0.3">
      <c r="A9" s="6" t="s">
        <v>6</v>
      </c>
      <c r="B9" s="8">
        <v>845</v>
      </c>
      <c r="F9" s="51"/>
      <c r="G9" s="51"/>
      <c r="H9" s="51"/>
      <c r="I9" s="51"/>
      <c r="J9" s="51"/>
      <c r="K9" s="51"/>
      <c r="L9" s="51"/>
      <c r="M9" s="51"/>
      <c r="N9" s="51"/>
      <c r="O9" s="51"/>
      <c r="P9" s="51"/>
      <c r="Q9" s="51"/>
      <c r="R9" s="51"/>
      <c r="S9" s="51"/>
    </row>
    <row r="10" spans="1:19" x14ac:dyDescent="0.3">
      <c r="A10" s="6" t="s">
        <v>5</v>
      </c>
      <c r="B10" s="8">
        <v>1311</v>
      </c>
      <c r="F10" s="51"/>
      <c r="G10" s="51"/>
      <c r="H10" s="51"/>
      <c r="I10" s="51"/>
      <c r="J10" s="51"/>
      <c r="K10" s="51"/>
      <c r="L10" s="51"/>
      <c r="M10" s="51"/>
      <c r="N10" s="51"/>
      <c r="O10" s="51"/>
      <c r="P10" s="51"/>
      <c r="Q10" s="51"/>
      <c r="R10" s="51"/>
      <c r="S10" s="51"/>
    </row>
    <row r="11" spans="1:19" x14ac:dyDescent="0.3">
      <c r="A11" s="6" t="s">
        <v>16</v>
      </c>
      <c r="B11" s="8">
        <v>2503</v>
      </c>
      <c r="F11" s="51"/>
      <c r="G11" s="51"/>
      <c r="H11" s="51"/>
      <c r="I11" s="51"/>
      <c r="J11" s="51"/>
      <c r="K11" s="51"/>
      <c r="L11" s="51"/>
      <c r="M11" s="51"/>
      <c r="N11" s="51"/>
      <c r="O11" s="51"/>
      <c r="P11" s="51"/>
      <c r="Q11" s="51"/>
      <c r="R11" s="51"/>
      <c r="S11" s="51"/>
    </row>
    <row r="12" spans="1:19" x14ac:dyDescent="0.3">
      <c r="F12" s="51"/>
      <c r="G12" s="51"/>
      <c r="H12" s="51"/>
      <c r="I12" s="51"/>
      <c r="J12" s="51"/>
      <c r="K12" s="51"/>
      <c r="L12" s="51"/>
      <c r="M12" s="51"/>
      <c r="N12" s="51"/>
      <c r="O12" s="51"/>
      <c r="P12" s="51"/>
      <c r="Q12" s="51"/>
      <c r="R12" s="51"/>
      <c r="S12" s="51"/>
    </row>
    <row r="13" spans="1:19" x14ac:dyDescent="0.3">
      <c r="F13" s="51"/>
      <c r="G13" s="51"/>
      <c r="H13" s="51"/>
      <c r="I13" s="51"/>
      <c r="J13" s="51"/>
      <c r="K13" s="51"/>
      <c r="L13" s="51"/>
      <c r="M13" s="51"/>
      <c r="N13" s="51"/>
      <c r="O13" s="51"/>
      <c r="P13" s="51"/>
      <c r="Q13" s="51"/>
      <c r="R13" s="51"/>
      <c r="S13" s="51"/>
    </row>
    <row r="14" spans="1:19" x14ac:dyDescent="0.3">
      <c r="F14" s="51"/>
      <c r="G14" s="51"/>
      <c r="H14" s="51"/>
      <c r="I14" s="51"/>
      <c r="J14" s="51"/>
      <c r="K14" s="51"/>
      <c r="L14" s="51"/>
      <c r="M14" s="51"/>
      <c r="N14" s="51"/>
      <c r="O14" s="51"/>
      <c r="P14" s="51"/>
      <c r="Q14" s="51"/>
      <c r="R14" s="51"/>
      <c r="S14" s="51"/>
    </row>
    <row r="15" spans="1:19" x14ac:dyDescent="0.3">
      <c r="A15" s="7" t="s">
        <v>30</v>
      </c>
      <c r="B15" t="s">
        <v>17</v>
      </c>
      <c r="F15" s="51"/>
      <c r="G15" s="51"/>
      <c r="H15" s="51"/>
      <c r="I15" s="51"/>
      <c r="J15" s="51"/>
      <c r="K15" s="51"/>
      <c r="L15" s="51"/>
      <c r="M15" s="51"/>
      <c r="N15" s="51"/>
      <c r="O15" s="51"/>
      <c r="P15" s="51"/>
      <c r="Q15" s="51"/>
      <c r="R15" s="51"/>
      <c r="S15" s="51"/>
    </row>
    <row r="16" spans="1:19" x14ac:dyDescent="0.3">
      <c r="A16" s="6" t="s">
        <v>24</v>
      </c>
      <c r="B16" s="8">
        <v>348</v>
      </c>
      <c r="F16" s="51"/>
      <c r="G16" s="51"/>
      <c r="H16" s="51"/>
      <c r="I16" s="51"/>
      <c r="J16" s="51"/>
      <c r="K16" s="51"/>
      <c r="L16" s="51"/>
      <c r="M16" s="51"/>
      <c r="N16" s="51"/>
      <c r="O16" s="51"/>
      <c r="P16" s="51"/>
      <c r="Q16" s="51"/>
      <c r="R16" s="51"/>
      <c r="S16" s="51"/>
    </row>
    <row r="17" spans="1:19" x14ac:dyDescent="0.3">
      <c r="A17" s="6" t="s">
        <v>25</v>
      </c>
      <c r="B17" s="8">
        <v>334</v>
      </c>
      <c r="F17" s="51"/>
      <c r="G17" s="51"/>
      <c r="H17" s="51"/>
      <c r="I17" s="51"/>
      <c r="J17" s="51"/>
      <c r="K17" s="51"/>
      <c r="L17" s="51"/>
      <c r="M17" s="51"/>
      <c r="N17" s="51"/>
      <c r="O17" s="51"/>
      <c r="P17" s="51"/>
      <c r="Q17" s="51"/>
      <c r="R17" s="51"/>
      <c r="S17" s="51"/>
    </row>
    <row r="18" spans="1:19" x14ac:dyDescent="0.3">
      <c r="A18" s="6" t="s">
        <v>26</v>
      </c>
      <c r="B18" s="8">
        <v>441</v>
      </c>
      <c r="F18" s="51"/>
      <c r="G18" s="51"/>
      <c r="H18" s="51"/>
      <c r="I18" s="51"/>
      <c r="J18" s="51"/>
      <c r="K18" s="51"/>
      <c r="L18" s="51"/>
      <c r="M18" s="51"/>
      <c r="N18" s="51"/>
      <c r="O18" s="51"/>
      <c r="P18" s="51"/>
      <c r="Q18" s="51"/>
      <c r="R18" s="51"/>
      <c r="S18" s="51"/>
    </row>
    <row r="19" spans="1:19" x14ac:dyDescent="0.3">
      <c r="A19" s="6" t="s">
        <v>27</v>
      </c>
      <c r="B19" s="8">
        <v>483</v>
      </c>
      <c r="F19" s="51"/>
      <c r="G19" s="51"/>
      <c r="H19" s="51"/>
      <c r="I19" s="51"/>
      <c r="J19" s="51"/>
      <c r="K19" s="51"/>
      <c r="L19" s="51"/>
      <c r="M19" s="51"/>
      <c r="N19" s="51"/>
      <c r="O19" s="51"/>
      <c r="P19" s="51"/>
      <c r="Q19" s="51"/>
      <c r="R19" s="51"/>
      <c r="S19" s="51"/>
    </row>
    <row r="20" spans="1:19" x14ac:dyDescent="0.3">
      <c r="A20" s="6" t="s">
        <v>28</v>
      </c>
      <c r="B20" s="8">
        <v>497</v>
      </c>
      <c r="F20" s="51"/>
      <c r="G20" s="51"/>
      <c r="H20" s="51"/>
      <c r="I20" s="51"/>
      <c r="J20" s="51"/>
      <c r="K20" s="51"/>
      <c r="L20" s="51"/>
      <c r="M20" s="51"/>
      <c r="N20" s="51"/>
      <c r="O20" s="51"/>
      <c r="P20" s="51"/>
      <c r="Q20" s="51"/>
      <c r="R20" s="51"/>
      <c r="S20" s="51"/>
    </row>
    <row r="21" spans="1:19" x14ac:dyDescent="0.3">
      <c r="A21" s="6" t="s">
        <v>29</v>
      </c>
      <c r="B21" s="8">
        <v>400</v>
      </c>
      <c r="F21" s="51"/>
      <c r="G21" s="51"/>
      <c r="H21" s="51"/>
      <c r="I21" s="51"/>
      <c r="J21" s="51"/>
      <c r="K21" s="51"/>
      <c r="L21" s="51"/>
      <c r="M21" s="51"/>
      <c r="N21" s="51"/>
      <c r="O21" s="51"/>
      <c r="P21" s="51"/>
      <c r="Q21" s="51"/>
      <c r="R21" s="51"/>
      <c r="S21" s="51"/>
    </row>
    <row r="22" spans="1:19" x14ac:dyDescent="0.3">
      <c r="A22" s="6" t="s">
        <v>16</v>
      </c>
      <c r="B22" s="8">
        <v>2503</v>
      </c>
      <c r="F22" s="51"/>
      <c r="G22" s="51"/>
      <c r="H22" s="51"/>
      <c r="I22" s="51"/>
      <c r="J22" s="51"/>
      <c r="K22" s="51"/>
      <c r="L22" s="51"/>
      <c r="M22" s="51"/>
      <c r="N22" s="51"/>
      <c r="O22" s="51"/>
      <c r="P22" s="51"/>
      <c r="Q22" s="51"/>
      <c r="R22" s="51"/>
      <c r="S22" s="51"/>
    </row>
    <row r="23" spans="1:19" x14ac:dyDescent="0.3">
      <c r="F23" s="51"/>
      <c r="G23" s="51"/>
      <c r="H23" s="51"/>
      <c r="I23" s="51"/>
      <c r="J23" s="51"/>
      <c r="K23" s="51"/>
      <c r="L23" s="51"/>
      <c r="M23" s="51"/>
      <c r="N23" s="51"/>
      <c r="O23" s="51"/>
      <c r="P23" s="51"/>
      <c r="Q23" s="51"/>
      <c r="R23" s="51"/>
      <c r="S23" s="51"/>
    </row>
    <row r="24" spans="1:19" x14ac:dyDescent="0.3">
      <c r="F24" s="51"/>
      <c r="G24" s="51"/>
      <c r="H24" s="51"/>
      <c r="I24" s="51"/>
      <c r="J24" s="51"/>
      <c r="K24" s="51"/>
      <c r="L24" s="51"/>
      <c r="M24" s="51"/>
      <c r="N24" s="51"/>
      <c r="O24" s="51"/>
      <c r="P24" s="51"/>
      <c r="Q24" s="51"/>
      <c r="R24" s="51"/>
      <c r="S24" s="51"/>
    </row>
    <row r="25" spans="1:19" x14ac:dyDescent="0.3">
      <c r="F25" s="51"/>
      <c r="G25" s="51"/>
      <c r="H25" s="51"/>
      <c r="I25" s="51"/>
      <c r="J25" s="51"/>
      <c r="K25" s="51"/>
      <c r="L25" s="51"/>
      <c r="M25" s="51"/>
      <c r="N25" s="51"/>
      <c r="O25" s="51"/>
      <c r="P25" s="51"/>
      <c r="Q25" s="51"/>
      <c r="R25" s="51"/>
      <c r="S25" s="51"/>
    </row>
  </sheetData>
  <mergeCells count="5">
    <mergeCell ref="B2:E2"/>
    <mergeCell ref="B3:E3"/>
    <mergeCell ref="B4:E4"/>
    <mergeCell ref="B5:E5"/>
    <mergeCell ref="F3:S2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3DC2-46EE-4C0D-A483-A57D659EA790}">
  <dimension ref="A1:U12"/>
  <sheetViews>
    <sheetView workbookViewId="0">
      <selection activeCell="V19" sqref="V19"/>
    </sheetView>
  </sheetViews>
  <sheetFormatPr defaultRowHeight="14.4" x14ac:dyDescent="0.3"/>
  <cols>
    <col min="1" max="1" width="10.77734375" bestFit="1" customWidth="1"/>
    <col min="2" max="2" width="12.5546875" bestFit="1" customWidth="1"/>
    <col min="3" max="3" width="3" bestFit="1" customWidth="1"/>
    <col min="4" max="20" width="4" bestFit="1" customWidth="1"/>
    <col min="21" max="21" width="10.77734375" bestFit="1" customWidth="1"/>
  </cols>
  <sheetData>
    <row r="1" spans="1:21" ht="15" thickBot="1" x14ac:dyDescent="0.35"/>
    <row r="2" spans="1:21" ht="15" thickBot="1" x14ac:dyDescent="0.35">
      <c r="D2" s="21" t="s">
        <v>41</v>
      </c>
      <c r="E2" s="22"/>
      <c r="F2" s="22"/>
      <c r="G2" s="22"/>
      <c r="H2" s="22"/>
      <c r="I2" s="22"/>
      <c r="J2" s="22"/>
      <c r="K2" s="22"/>
      <c r="L2" s="22"/>
      <c r="M2" s="22"/>
      <c r="N2" s="22"/>
      <c r="O2" s="22"/>
      <c r="P2" s="22"/>
      <c r="Q2" s="22"/>
      <c r="R2" s="22"/>
      <c r="S2" s="22"/>
      <c r="T2" s="22"/>
      <c r="U2" s="23"/>
    </row>
    <row r="3" spans="1:21" ht="15" thickBot="1" x14ac:dyDescent="0.35"/>
    <row r="4" spans="1:21" x14ac:dyDescent="0.3">
      <c r="D4" s="4" t="s">
        <v>13</v>
      </c>
      <c r="E4" s="12" t="s">
        <v>42</v>
      </c>
      <c r="F4" s="13"/>
      <c r="G4" s="13"/>
      <c r="H4" s="13"/>
      <c r="I4" s="13"/>
      <c r="J4" s="13"/>
      <c r="K4" s="13"/>
      <c r="L4" s="13"/>
      <c r="M4" s="13"/>
      <c r="N4" s="13"/>
      <c r="O4" s="13"/>
      <c r="P4" s="13"/>
      <c r="Q4" s="13"/>
      <c r="R4" s="13"/>
      <c r="S4" s="13"/>
      <c r="T4" s="14"/>
    </row>
    <row r="5" spans="1:21" x14ac:dyDescent="0.3">
      <c r="A5" s="7" t="s">
        <v>30</v>
      </c>
      <c r="B5" t="s">
        <v>40</v>
      </c>
      <c r="E5" s="15"/>
      <c r="F5" s="52"/>
      <c r="G5" s="52"/>
      <c r="H5" s="52"/>
      <c r="I5" s="52"/>
      <c r="J5" s="52"/>
      <c r="K5" s="52"/>
      <c r="L5" s="52"/>
      <c r="M5" s="52"/>
      <c r="N5" s="52"/>
      <c r="O5" s="52"/>
      <c r="P5" s="52"/>
      <c r="Q5" s="52"/>
      <c r="R5" s="52"/>
      <c r="S5" s="52"/>
      <c r="T5" s="17"/>
    </row>
    <row r="6" spans="1:21" x14ac:dyDescent="0.3">
      <c r="A6" s="6" t="s">
        <v>24</v>
      </c>
      <c r="B6" s="8">
        <v>320.25</v>
      </c>
      <c r="E6" s="15"/>
      <c r="F6" s="52"/>
      <c r="G6" s="52"/>
      <c r="H6" s="52"/>
      <c r="I6" s="52"/>
      <c r="J6" s="52"/>
      <c r="K6" s="52"/>
      <c r="L6" s="52"/>
      <c r="M6" s="52"/>
      <c r="N6" s="52"/>
      <c r="O6" s="52"/>
      <c r="P6" s="52"/>
      <c r="Q6" s="52"/>
      <c r="R6" s="52"/>
      <c r="S6" s="52"/>
      <c r="T6" s="17"/>
    </row>
    <row r="7" spans="1:21" x14ac:dyDescent="0.3">
      <c r="A7" s="6" t="s">
        <v>25</v>
      </c>
      <c r="B7" s="8">
        <v>344</v>
      </c>
      <c r="E7" s="15"/>
      <c r="F7" s="52"/>
      <c r="G7" s="52"/>
      <c r="H7" s="52"/>
      <c r="I7" s="52"/>
      <c r="J7" s="52"/>
      <c r="K7" s="52"/>
      <c r="L7" s="52"/>
      <c r="M7" s="52"/>
      <c r="N7" s="52"/>
      <c r="O7" s="52"/>
      <c r="P7" s="52"/>
      <c r="Q7" s="52"/>
      <c r="R7" s="52"/>
      <c r="S7" s="52"/>
      <c r="T7" s="17"/>
    </row>
    <row r="8" spans="1:21" x14ac:dyDescent="0.3">
      <c r="A8" s="6" t="s">
        <v>26</v>
      </c>
      <c r="B8" s="8">
        <v>319.33333333333331</v>
      </c>
      <c r="E8" s="15"/>
      <c r="F8" s="52"/>
      <c r="G8" s="52"/>
      <c r="H8" s="52"/>
      <c r="I8" s="52"/>
      <c r="J8" s="52"/>
      <c r="K8" s="52"/>
      <c r="L8" s="52"/>
      <c r="M8" s="52"/>
      <c r="N8" s="52"/>
      <c r="O8" s="52"/>
      <c r="P8" s="52"/>
      <c r="Q8" s="52"/>
      <c r="R8" s="52"/>
      <c r="S8" s="52"/>
      <c r="T8" s="17"/>
    </row>
    <row r="9" spans="1:21" x14ac:dyDescent="0.3">
      <c r="A9" s="6" t="s">
        <v>27</v>
      </c>
      <c r="B9" s="8">
        <v>385</v>
      </c>
      <c r="E9" s="15"/>
      <c r="F9" s="52"/>
      <c r="G9" s="52"/>
      <c r="H9" s="52"/>
      <c r="I9" s="52"/>
      <c r="J9" s="52"/>
      <c r="K9" s="52"/>
      <c r="L9" s="52"/>
      <c r="M9" s="52"/>
      <c r="N9" s="52"/>
      <c r="O9" s="52"/>
      <c r="P9" s="52"/>
      <c r="Q9" s="52"/>
      <c r="R9" s="52"/>
      <c r="S9" s="52"/>
      <c r="T9" s="17"/>
    </row>
    <row r="10" spans="1:21" x14ac:dyDescent="0.3">
      <c r="A10" s="6" t="s">
        <v>28</v>
      </c>
      <c r="B10" s="8">
        <v>428.66666666666669</v>
      </c>
      <c r="E10" s="15"/>
      <c r="F10" s="52"/>
      <c r="G10" s="52"/>
      <c r="H10" s="52"/>
      <c r="I10" s="52"/>
      <c r="J10" s="52"/>
      <c r="K10" s="52"/>
      <c r="L10" s="52"/>
      <c r="M10" s="52"/>
      <c r="N10" s="52"/>
      <c r="O10" s="52"/>
      <c r="P10" s="52"/>
      <c r="Q10" s="52"/>
      <c r="R10" s="52"/>
      <c r="S10" s="52"/>
      <c r="T10" s="17"/>
    </row>
    <row r="11" spans="1:21" x14ac:dyDescent="0.3">
      <c r="A11" s="6" t="s">
        <v>29</v>
      </c>
      <c r="B11" s="8">
        <v>279.25</v>
      </c>
      <c r="E11" s="15"/>
      <c r="F11" s="52"/>
      <c r="G11" s="52"/>
      <c r="H11" s="52"/>
      <c r="I11" s="52"/>
      <c r="J11" s="52"/>
      <c r="K11" s="52"/>
      <c r="L11" s="52"/>
      <c r="M11" s="52"/>
      <c r="N11" s="52"/>
      <c r="O11" s="52"/>
      <c r="P11" s="52"/>
      <c r="Q11" s="52"/>
      <c r="R11" s="52"/>
      <c r="S11" s="52"/>
      <c r="T11" s="17"/>
    </row>
    <row r="12" spans="1:21" ht="15" thickBot="1" x14ac:dyDescent="0.35">
      <c r="A12" s="6" t="s">
        <v>16</v>
      </c>
      <c r="B12" s="8">
        <v>341.45</v>
      </c>
      <c r="E12" s="18"/>
      <c r="F12" s="19"/>
      <c r="G12" s="19"/>
      <c r="H12" s="19"/>
      <c r="I12" s="19"/>
      <c r="J12" s="19"/>
      <c r="K12" s="19"/>
      <c r="L12" s="19"/>
      <c r="M12" s="19"/>
      <c r="N12" s="19"/>
      <c r="O12" s="19"/>
      <c r="P12" s="19"/>
      <c r="Q12" s="19"/>
      <c r="R12" s="19"/>
      <c r="S12" s="19"/>
      <c r="T12" s="20"/>
    </row>
  </sheetData>
  <mergeCells count="2">
    <mergeCell ref="D2:U2"/>
    <mergeCell ref="E4:T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A34B-00A5-414F-99C0-2AB099258B5A}">
  <dimension ref="A1:T22"/>
  <sheetViews>
    <sheetView tabSelected="1" workbookViewId="0">
      <selection activeCell="I13" sqref="I13"/>
    </sheetView>
  </sheetViews>
  <sheetFormatPr defaultRowHeight="14.4" x14ac:dyDescent="0.3"/>
  <cols>
    <col min="1" max="1" width="10.33203125" bestFit="1" customWidth="1"/>
    <col min="8" max="8" width="12.5546875" bestFit="1" customWidth="1"/>
    <col min="9" max="9" width="9.88671875" bestFit="1" customWidth="1"/>
  </cols>
  <sheetData>
    <row r="1" spans="1:20" ht="15" thickBot="1" x14ac:dyDescent="0.35"/>
    <row r="2" spans="1:20" ht="15" thickBot="1" x14ac:dyDescent="0.35">
      <c r="A2" s="1" t="s">
        <v>0</v>
      </c>
      <c r="B2" s="1" t="s">
        <v>1</v>
      </c>
      <c r="C2" s="1" t="s">
        <v>2</v>
      </c>
      <c r="D2" s="1" t="s">
        <v>3</v>
      </c>
      <c r="E2" s="1" t="s">
        <v>4</v>
      </c>
      <c r="F2" s="53" t="s">
        <v>43</v>
      </c>
      <c r="H2" s="7" t="s">
        <v>2</v>
      </c>
      <c r="I2" t="s">
        <v>17</v>
      </c>
      <c r="K2" s="21" t="s">
        <v>45</v>
      </c>
      <c r="L2" s="22"/>
      <c r="M2" s="22"/>
      <c r="N2" s="22"/>
      <c r="O2" s="22"/>
      <c r="P2" s="22"/>
      <c r="Q2" s="22"/>
      <c r="R2" s="22"/>
      <c r="S2" s="22"/>
      <c r="T2" s="23"/>
    </row>
    <row r="3" spans="1:20" ht="15" thickBot="1" x14ac:dyDescent="0.35">
      <c r="A3" s="2">
        <v>45292</v>
      </c>
      <c r="B3" s="3" t="s">
        <v>5</v>
      </c>
      <c r="C3" s="3" t="s">
        <v>9</v>
      </c>
      <c r="D3" s="3">
        <v>456</v>
      </c>
      <c r="E3" s="3">
        <v>93</v>
      </c>
      <c r="F3" s="3" t="str">
        <f>IF(OR(C3="Apples",C3="Oranges"),"Fruits",C3)</f>
        <v>Mangoes</v>
      </c>
      <c r="H3" s="6" t="s">
        <v>44</v>
      </c>
      <c r="I3" s="8">
        <v>4308</v>
      </c>
      <c r="K3" s="5" t="s">
        <v>13</v>
      </c>
    </row>
    <row r="4" spans="1:20" ht="14.4" customHeight="1" x14ac:dyDescent="0.3">
      <c r="A4" s="2">
        <v>45301.526315789473</v>
      </c>
      <c r="B4" s="3" t="s">
        <v>6</v>
      </c>
      <c r="C4" s="3" t="s">
        <v>10</v>
      </c>
      <c r="D4" s="3">
        <v>348</v>
      </c>
      <c r="E4" s="3">
        <v>56</v>
      </c>
      <c r="F4" s="3" t="str">
        <f t="shared" ref="F4:F22" si="0">IF(OR(C4="Apples",C4="Oranges"),"Fruits",C4)</f>
        <v>Fruits</v>
      </c>
      <c r="H4" s="6" t="s">
        <v>9</v>
      </c>
      <c r="I4" s="8">
        <v>2521</v>
      </c>
      <c r="L4" s="54" t="s">
        <v>46</v>
      </c>
      <c r="M4" s="55"/>
      <c r="N4" s="55"/>
      <c r="O4" s="55"/>
      <c r="P4" s="55"/>
      <c r="Q4" s="55"/>
      <c r="R4" s="55"/>
      <c r="S4" s="55"/>
      <c r="T4" s="56"/>
    </row>
    <row r="5" spans="1:20" x14ac:dyDescent="0.3">
      <c r="A5" s="2">
        <v>45311.052631578947</v>
      </c>
      <c r="B5" s="3" t="s">
        <v>6</v>
      </c>
      <c r="C5" s="3" t="s">
        <v>9</v>
      </c>
      <c r="D5" s="3">
        <v>247</v>
      </c>
      <c r="E5" s="3">
        <v>76</v>
      </c>
      <c r="F5" s="3" t="str">
        <f t="shared" si="0"/>
        <v>Mangoes</v>
      </c>
      <c r="H5" s="6" t="s">
        <v>16</v>
      </c>
      <c r="I5" s="8">
        <v>6829</v>
      </c>
      <c r="L5" s="57"/>
      <c r="M5" s="58"/>
      <c r="N5" s="58"/>
      <c r="O5" s="58"/>
      <c r="P5" s="58"/>
      <c r="Q5" s="58"/>
      <c r="R5" s="58"/>
      <c r="S5" s="58"/>
      <c r="T5" s="59"/>
    </row>
    <row r="6" spans="1:20" x14ac:dyDescent="0.3">
      <c r="A6" s="2">
        <v>45320.578947368413</v>
      </c>
      <c r="B6" s="3" t="s">
        <v>5</v>
      </c>
      <c r="C6" s="3" t="s">
        <v>11</v>
      </c>
      <c r="D6" s="3">
        <v>230</v>
      </c>
      <c r="E6" s="3">
        <v>37</v>
      </c>
      <c r="F6" s="3" t="str">
        <f t="shared" si="0"/>
        <v>Fruits</v>
      </c>
      <c r="L6" s="57"/>
      <c r="M6" s="58"/>
      <c r="N6" s="58"/>
      <c r="O6" s="58"/>
      <c r="P6" s="58"/>
      <c r="Q6" s="58"/>
      <c r="R6" s="58"/>
      <c r="S6" s="58"/>
      <c r="T6" s="59"/>
    </row>
    <row r="7" spans="1:20" x14ac:dyDescent="0.3">
      <c r="A7" s="2">
        <v>45330.105263157893</v>
      </c>
      <c r="B7" s="3" t="s">
        <v>5</v>
      </c>
      <c r="C7" s="3" t="s">
        <v>9</v>
      </c>
      <c r="D7" s="3">
        <v>281</v>
      </c>
      <c r="E7" s="3">
        <v>50</v>
      </c>
      <c r="F7" s="3" t="str">
        <f t="shared" si="0"/>
        <v>Mangoes</v>
      </c>
      <c r="L7" s="57"/>
      <c r="M7" s="58"/>
      <c r="N7" s="58"/>
      <c r="O7" s="58"/>
      <c r="P7" s="58"/>
      <c r="Q7" s="58"/>
      <c r="R7" s="58"/>
      <c r="S7" s="58"/>
      <c r="T7" s="59"/>
    </row>
    <row r="8" spans="1:20" x14ac:dyDescent="0.3">
      <c r="A8" s="2">
        <v>45339.631578947359</v>
      </c>
      <c r="B8" s="3" t="s">
        <v>5</v>
      </c>
      <c r="C8" s="3" t="s">
        <v>10</v>
      </c>
      <c r="D8" s="3">
        <v>334</v>
      </c>
      <c r="E8" s="3">
        <v>52</v>
      </c>
      <c r="F8" s="3" t="str">
        <f t="shared" si="0"/>
        <v>Fruits</v>
      </c>
      <c r="L8" s="57"/>
      <c r="M8" s="58"/>
      <c r="N8" s="58"/>
      <c r="O8" s="58"/>
      <c r="P8" s="58"/>
      <c r="Q8" s="58"/>
      <c r="R8" s="58"/>
      <c r="S8" s="58"/>
      <c r="T8" s="59"/>
    </row>
    <row r="9" spans="1:20" ht="15" thickBot="1" x14ac:dyDescent="0.35">
      <c r="A9" s="2">
        <v>45349.15789473684</v>
      </c>
      <c r="B9" s="3" t="s">
        <v>6</v>
      </c>
      <c r="C9" s="3" t="s">
        <v>11</v>
      </c>
      <c r="D9" s="3">
        <v>417</v>
      </c>
      <c r="E9" s="3">
        <v>29</v>
      </c>
      <c r="F9" s="3" t="str">
        <f t="shared" si="0"/>
        <v>Fruits</v>
      </c>
      <c r="L9" s="60"/>
      <c r="M9" s="61"/>
      <c r="N9" s="61"/>
      <c r="O9" s="61"/>
      <c r="P9" s="61"/>
      <c r="Q9" s="61"/>
      <c r="R9" s="61"/>
      <c r="S9" s="61"/>
      <c r="T9" s="62"/>
    </row>
    <row r="10" spans="1:20" x14ac:dyDescent="0.3">
      <c r="A10" s="2">
        <v>45358.684210526313</v>
      </c>
      <c r="B10" s="3" t="s">
        <v>5</v>
      </c>
      <c r="C10" s="3" t="s">
        <v>11</v>
      </c>
      <c r="D10" s="3">
        <v>441</v>
      </c>
      <c r="E10" s="3">
        <v>44</v>
      </c>
      <c r="F10" s="3" t="str">
        <f t="shared" si="0"/>
        <v>Fruits</v>
      </c>
    </row>
    <row r="11" spans="1:20" x14ac:dyDescent="0.3">
      <c r="A11" s="2">
        <v>45368.210526315786</v>
      </c>
      <c r="B11" s="3" t="s">
        <v>6</v>
      </c>
      <c r="C11" s="3" t="s">
        <v>9</v>
      </c>
      <c r="D11" s="3">
        <v>76</v>
      </c>
      <c r="E11" s="3">
        <v>63</v>
      </c>
      <c r="F11" s="3" t="str">
        <f t="shared" si="0"/>
        <v>Mangoes</v>
      </c>
    </row>
    <row r="12" spans="1:20" x14ac:dyDescent="0.3">
      <c r="A12" s="2">
        <v>45377.736842105252</v>
      </c>
      <c r="B12" s="3" t="s">
        <v>5</v>
      </c>
      <c r="C12" s="3" t="s">
        <v>10</v>
      </c>
      <c r="D12" s="3">
        <v>441</v>
      </c>
      <c r="E12" s="3">
        <v>79</v>
      </c>
      <c r="F12" s="3" t="str">
        <f t="shared" si="0"/>
        <v>Fruits</v>
      </c>
    </row>
    <row r="13" spans="1:20" x14ac:dyDescent="0.3">
      <c r="A13" s="2">
        <v>45387.263157894733</v>
      </c>
      <c r="B13" s="3" t="s">
        <v>6</v>
      </c>
      <c r="C13" s="3" t="s">
        <v>9</v>
      </c>
      <c r="D13" s="3">
        <v>205</v>
      </c>
      <c r="E13" s="3">
        <v>23</v>
      </c>
      <c r="F13" s="3" t="str">
        <f t="shared" si="0"/>
        <v>Mangoes</v>
      </c>
      <c r="I13" s="63"/>
    </row>
    <row r="14" spans="1:20" x14ac:dyDescent="0.3">
      <c r="A14" s="2">
        <v>45396.789473684199</v>
      </c>
      <c r="B14" s="3" t="s">
        <v>5</v>
      </c>
      <c r="C14" s="3" t="s">
        <v>10</v>
      </c>
      <c r="D14" s="3">
        <v>483</v>
      </c>
      <c r="E14" s="3">
        <v>97</v>
      </c>
      <c r="F14" s="3" t="str">
        <f t="shared" si="0"/>
        <v>Fruits</v>
      </c>
    </row>
    <row r="15" spans="1:20" x14ac:dyDescent="0.3">
      <c r="A15" s="2">
        <v>45406.31578947368</v>
      </c>
      <c r="B15" s="3" t="s">
        <v>7</v>
      </c>
      <c r="C15" s="3" t="s">
        <v>9</v>
      </c>
      <c r="D15" s="3">
        <v>467</v>
      </c>
      <c r="E15" s="3">
        <v>97</v>
      </c>
      <c r="F15" s="3" t="str">
        <f t="shared" si="0"/>
        <v>Mangoes</v>
      </c>
    </row>
    <row r="16" spans="1:20" x14ac:dyDescent="0.3">
      <c r="A16" s="2">
        <v>45415.842105263153</v>
      </c>
      <c r="B16" s="3" t="s">
        <v>5</v>
      </c>
      <c r="C16" s="3" t="s">
        <v>9</v>
      </c>
      <c r="D16" s="3">
        <v>380</v>
      </c>
      <c r="E16" s="3">
        <v>92</v>
      </c>
      <c r="F16" s="3" t="str">
        <f t="shared" si="0"/>
        <v>Mangoes</v>
      </c>
    </row>
    <row r="17" spans="1:6" x14ac:dyDescent="0.3">
      <c r="A17" s="2">
        <v>45425.368421052633</v>
      </c>
      <c r="B17" s="3" t="s">
        <v>6</v>
      </c>
      <c r="C17" s="3" t="s">
        <v>10</v>
      </c>
      <c r="D17" s="3">
        <v>497</v>
      </c>
      <c r="E17" s="3">
        <v>71</v>
      </c>
      <c r="F17" s="3" t="str">
        <f t="shared" si="0"/>
        <v>Fruits</v>
      </c>
    </row>
    <row r="18" spans="1:6" x14ac:dyDescent="0.3">
      <c r="A18" s="2">
        <v>45434.894736842092</v>
      </c>
      <c r="B18" s="3" t="s">
        <v>6</v>
      </c>
      <c r="C18" s="3" t="s">
        <v>9</v>
      </c>
      <c r="D18" s="3">
        <v>409</v>
      </c>
      <c r="E18" s="3">
        <v>81</v>
      </c>
      <c r="F18" s="3" t="str">
        <f t="shared" si="0"/>
        <v>Mangoes</v>
      </c>
    </row>
    <row r="19" spans="1:6" x14ac:dyDescent="0.3">
      <c r="A19" s="2">
        <v>45444.421052631573</v>
      </c>
      <c r="B19" s="3" t="s">
        <v>5</v>
      </c>
      <c r="C19" s="3" t="s">
        <v>10</v>
      </c>
      <c r="D19" s="3">
        <v>53</v>
      </c>
      <c r="E19" s="3">
        <v>45</v>
      </c>
      <c r="F19" s="3" t="str">
        <f t="shared" si="0"/>
        <v>Fruits</v>
      </c>
    </row>
    <row r="20" spans="1:6" x14ac:dyDescent="0.3">
      <c r="A20" s="2">
        <v>45453.947368421039</v>
      </c>
      <c r="B20" s="3" t="s">
        <v>5</v>
      </c>
      <c r="C20" s="3" t="s">
        <v>11</v>
      </c>
      <c r="D20" s="3">
        <v>398</v>
      </c>
      <c r="E20" s="3">
        <v>33</v>
      </c>
      <c r="F20" s="3" t="str">
        <f t="shared" si="0"/>
        <v>Fruits</v>
      </c>
    </row>
    <row r="21" spans="1:6" x14ac:dyDescent="0.3">
      <c r="A21" s="2">
        <v>45463.473684210519</v>
      </c>
      <c r="B21" s="3" t="s">
        <v>8</v>
      </c>
      <c r="C21" s="3" t="s">
        <v>10</v>
      </c>
      <c r="D21" s="3">
        <v>347</v>
      </c>
      <c r="E21" s="3">
        <v>35</v>
      </c>
      <c r="F21" s="3" t="str">
        <f t="shared" si="0"/>
        <v>Fruits</v>
      </c>
    </row>
    <row r="22" spans="1:6" x14ac:dyDescent="0.3">
      <c r="A22" s="2">
        <v>45473</v>
      </c>
      <c r="B22" s="3" t="s">
        <v>6</v>
      </c>
      <c r="C22" s="3" t="s">
        <v>11</v>
      </c>
      <c r="D22" s="3">
        <v>319</v>
      </c>
      <c r="E22" s="3">
        <v>45</v>
      </c>
      <c r="F22" s="3" t="str">
        <f t="shared" si="0"/>
        <v>Fruits</v>
      </c>
    </row>
  </sheetData>
  <mergeCells count="2">
    <mergeCell ref="K2:T2"/>
    <mergeCell ref="L4:T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khosla</dc:creator>
  <cp:lastModifiedBy>soumya khosla</cp:lastModifiedBy>
  <dcterms:created xsi:type="dcterms:W3CDTF">2025-09-27T10:25:11Z</dcterms:created>
  <dcterms:modified xsi:type="dcterms:W3CDTF">2025-11-11T20:59:41Z</dcterms:modified>
</cp:coreProperties>
</file>